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99" sheetId="1" state="visible" r:id="rId3"/>
    <sheet name="CUSTOS" sheetId="2" state="visible" r:id="rId4"/>
    <sheet name="DE PARA" sheetId="3" state="visible" r:id="rId5"/>
  </sheets>
  <definedNames>
    <definedName function="false" hidden="true" localSheetId="2" name="_xlnm._FilterDatabase" vbProcedure="false">'DE PARA'!$A$1:$E$147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<sst xmlns="http://schemas.openxmlformats.org/spreadsheetml/2006/main" count="1175" uniqueCount="819">
  <si>
    <t xml:space="preserve">Nome do item</t>
  </si>
  <si>
    <t xml:space="preserve">Refrigerante Pepsi Zero 2L</t>
  </si>
  <si>
    <t xml:space="preserve">Refrigerante Coca-Cola Lata Com 350ml</t>
  </si>
  <si>
    <t xml:space="preserve">Refresco H2oh Limoneto 1,5l</t>
  </si>
  <si>
    <t xml:space="preserve">Suco Del Valle Frut Laranja 1,5L</t>
  </si>
  <si>
    <t xml:space="preserve">Refrigerante Fanta Laranja 350ML</t>
  </si>
  <si>
    <t xml:space="preserve">Refrigerante Guaraná Antarctica Zero 350ML</t>
  </si>
  <si>
    <t xml:space="preserve">Cerveja Heineken Garrafa 330ml</t>
  </si>
  <si>
    <t xml:space="preserve">Whisky Escocês White Horse 1L</t>
  </si>
  <si>
    <t xml:space="preserve">Rum Bacardí Carta Blanca 980ML</t>
  </si>
  <si>
    <t xml:space="preserve">Vinho Chileno Chilano Cabernet Garrafa com 750ml</t>
  </si>
  <si>
    <t xml:space="preserve">Cerveja Michelob Ultra Superior Light Beer Lata 350ml</t>
  </si>
  <si>
    <t xml:space="preserve">Vodka Absolut - 1 Litro</t>
  </si>
  <si>
    <t xml:space="preserve">Vinho Por Alandra Bco 750Ml</t>
  </si>
  <si>
    <t xml:space="preserve">Vinho Chi Stacarolina Rsvd Rose 750Ml</t>
  </si>
  <si>
    <t xml:space="preserve">Cerveja Sol Premium Long Neck 330ml</t>
  </si>
  <si>
    <t xml:space="preserve">Bebida Alcoólica Xeque Mate 355ML</t>
  </si>
  <si>
    <t xml:space="preserve">Cerveja Corona Long Neck Com 330ml</t>
  </si>
  <si>
    <t xml:space="preserve">Bebida Energética Red Bull Lata 250 ml</t>
  </si>
  <si>
    <t xml:space="preserve">Gelo Para Drink Coco Leve 190G</t>
  </si>
  <si>
    <t xml:space="preserve">Refrigerante Guaraná Antarctica 2L</t>
  </si>
  <si>
    <t xml:space="preserve">Whiskey Jack Daniel's 1L</t>
  </si>
  <si>
    <t xml:space="preserve">Enos Gimenez Riili Bu Hermanos Cabernet Franc - Vinho Fino Tinto</t>
  </si>
  <si>
    <t xml:space="preserve">Vinho Arg Cordero Con Piel Lobo Rs 750Ml</t>
  </si>
  <si>
    <t xml:space="preserve">Refrigerante Pepsi Cola 2L</t>
  </si>
  <si>
    <t xml:space="preserve">Cerveja Corona Pilsen Lata 350ml</t>
  </si>
  <si>
    <t xml:space="preserve">Cerveja Amstel Lager Lata 350ml</t>
  </si>
  <si>
    <t xml:space="preserve">Cerveja Brahma Duplo Malte Lata Com 350ml</t>
  </si>
  <si>
    <t xml:space="preserve">Energético Baly FrutasTropicais 2L</t>
  </si>
  <si>
    <t xml:space="preserve">Whisky Chivas Regal 12 Anos 1L</t>
  </si>
  <si>
    <t xml:space="preserve">Licor Ballena Coco 750ML</t>
  </si>
  <si>
    <t xml:space="preserve">Fireball 750ml</t>
  </si>
  <si>
    <t xml:space="preserve">Tequila Jose Cuervo Ouro Especial 750 ml</t>
  </si>
  <si>
    <t xml:space="preserve">Gelo Fast Embalagem 5Kg</t>
  </si>
  <si>
    <t xml:space="preserve">Refresco H2oh Limão Pet com 1,5l</t>
  </si>
  <si>
    <t xml:space="preserve">Cerveja Eisenbahn Pilsen Lata 350ml</t>
  </si>
  <si>
    <t xml:space="preserve">Salgadinho Elma Chips Batata Ruffles Cebola e salsa 68G</t>
  </si>
  <si>
    <t xml:space="preserve">Água Mineral Minalba Com gás 1.5 L</t>
  </si>
  <si>
    <t xml:space="preserve">Bebida Alcoólica Mista Smirnoff Ice 269ML</t>
  </si>
  <si>
    <t xml:space="preserve">Espumante Cava Freixenet Demi-Sec Branco Macabeo Xarel-Lo E Parellada Carta Nevada 750ml</t>
  </si>
  <si>
    <t xml:space="preserve">Vinho Chileno Santa Helena Reservado Cabernet Merlot 750ML</t>
  </si>
  <si>
    <t xml:space="preserve">Vinho Argentino Trapiche Malbec 750ML</t>
  </si>
  <si>
    <t xml:space="preserve">Ice 51 Morango E Laranja 275 ml</t>
  </si>
  <si>
    <t xml:space="preserve">Vinho Arg Chac Chac Malbec Tinto 750Ml</t>
  </si>
  <si>
    <t xml:space="preserve">Vinho Tinto Trapiche Vineyards Cabernet Sauvignon 750ml</t>
  </si>
  <si>
    <t xml:space="preserve">Vinho Argentino Concha Y Toro Malbec Garrafa Com 750ml</t>
  </si>
  <si>
    <t xml:space="preserve">Licor Ballena Garrafa 750ml</t>
  </si>
  <si>
    <t xml:space="preserve">Vinho Chileno Casillero Del Diablo Camenere Garrafa Com 750ml</t>
  </si>
  <si>
    <t xml:space="preserve">Espumante Salton Demi Sec 750ML</t>
  </si>
  <si>
    <t xml:space="preserve">Cerveja Original Lata Com 350ml</t>
  </si>
  <si>
    <t xml:space="preserve">Cerveja Heineken Barril 5L</t>
  </si>
  <si>
    <t xml:space="preserve">Espumante Chandon Rosé Brut Pinot Noir Riesling Itálico Chardonnay Serra Gaúcha 750ml</t>
  </si>
  <si>
    <t xml:space="preserve">Cachaça Weber Haus Amburana 700 Ml</t>
  </si>
  <si>
    <t xml:space="preserve">Vinho Chileno Santa Helena Sauvignon Blanc 750ML</t>
  </si>
  <si>
    <t xml:space="preserve">Salgadinho Elma Chips Doritos Queijo nacho 120G</t>
  </si>
  <si>
    <t xml:space="preserve">Cerveja Stella Artois Pure Gold Lt 269ml</t>
  </si>
  <si>
    <t xml:space="preserve">Espumante Salton Brut 750ML</t>
  </si>
  <si>
    <t xml:space="preserve">Vinho Chileno Casillero del Diablo Chardonnay 750ML</t>
  </si>
  <si>
    <t xml:space="preserve">Aperitivo Campari Bitter 900Ml</t>
  </si>
  <si>
    <t xml:space="preserve">Tequila El Jimador Prata Super Premium 750 ml</t>
  </si>
  <si>
    <t xml:space="preserve">Vinho Tinto Santa Helena Reservado Carmenère 750ml</t>
  </si>
  <si>
    <t xml:space="preserve">Vinho Chileno Concha Y Toro Carmenere 750ML</t>
  </si>
  <si>
    <t xml:space="preserve">Energético Líquido À Base De Taurina E Cafeína Juice Suco De Frutas Monster Pipeline Punch 473ml</t>
  </si>
  <si>
    <t xml:space="preserve">Água De Coco Kero Coco Caixa 1L</t>
  </si>
  <si>
    <t xml:space="preserve">Salgadinho Elma Chips Batata Ruffles Original 68G</t>
  </si>
  <si>
    <t xml:space="preserve">Água Mineral Minalba Sem gás 1.5 L</t>
  </si>
  <si>
    <t xml:space="preserve">Água Mineral Crystal Com Gás 1,5L</t>
  </si>
  <si>
    <t xml:space="preserve">Salgadinho Lucky Torcida Cebola 60G</t>
  </si>
  <si>
    <t xml:space="preserve">Refrigerante Guaraná Antarctica Zero 200ML</t>
  </si>
  <si>
    <t xml:space="preserve">Bebida Alcoólica Mista Beats Tropical 269ML</t>
  </si>
  <si>
    <t xml:space="preserve">Cerveja Lagunita 350ml</t>
  </si>
  <si>
    <t xml:space="preserve">Cerveja Coronita Long 210ml</t>
  </si>
  <si>
    <t xml:space="preserve">Bebida 51 Ice Balada 275ML</t>
  </si>
  <si>
    <t xml:space="preserve">Refrigerante Coca-Cola Pet Com 2L</t>
  </si>
  <si>
    <t xml:space="preserve">Isotônico Tangerina Gatorade Garrafa 500ml</t>
  </si>
  <si>
    <t xml:space="preserve">Whiskey Bourbon Jim Beam White 1L</t>
  </si>
  <si>
    <t xml:space="preserve">Energético Baly Melancia 2L</t>
  </si>
  <si>
    <t xml:space="preserve">Água Mineral Minalba Sem gás 510ML</t>
  </si>
  <si>
    <t xml:space="preserve">Cerveja Skol Redondinha 269ML</t>
  </si>
  <si>
    <t xml:space="preserve">Refrigerante Guaraná Antarctica Pet Com 200ml</t>
  </si>
  <si>
    <t xml:space="preserve">Refresco H2oh Limão Pet com 500ml</t>
  </si>
  <si>
    <t xml:space="preserve">Refrigerante Pepsi Zero 350ML</t>
  </si>
  <si>
    <t xml:space="preserve">Salgadinho Lucky Torcida Churrasco 60G</t>
  </si>
  <si>
    <t xml:space="preserve">Cerveja Colorado Ribeirão Lager 600ml Garrafa</t>
  </si>
  <si>
    <t xml:space="preserve">Vin Pé Branco- 750ml</t>
  </si>
  <si>
    <t xml:space="preserve">Saquê Azuma Kirin Dourado Seco Garrafa com 740ml</t>
  </si>
  <si>
    <t xml:space="preserve">Salgadinho Elma Chips Lay's Clássica 70G</t>
  </si>
  <si>
    <t xml:space="preserve">Espumante Salton Moscatel 750ML</t>
  </si>
  <si>
    <t xml:space="preserve">Mansão Maromba Maça Verde</t>
  </si>
  <si>
    <t xml:space="preserve">Skol Beats Long 269ml</t>
  </si>
  <si>
    <t xml:space="preserve">Whisky Old Parr 1L</t>
  </si>
  <si>
    <t xml:space="preserve">Energético Baly Maçã Verde 2L</t>
  </si>
  <si>
    <t xml:space="preserve">Energetico Baly Tradicional 2l</t>
  </si>
  <si>
    <t xml:space="preserve">Cerveja Stella Artois S/Glut 330Ml</t>
  </si>
  <si>
    <t xml:space="preserve">Isotônico Gatorade Laranja 500ML</t>
  </si>
  <si>
    <t xml:space="preserve">PRODUTO</t>
  </si>
  <si>
    <t xml:space="preserve">CARVÃO SELEÇÃO 4KG</t>
  </si>
  <si>
    <t xml:space="preserve">CARVÃO SELEÇÃO 8KG</t>
  </si>
  <si>
    <t xml:space="preserve">AMENDOIM PANCHITO</t>
  </si>
  <si>
    <t xml:space="preserve">QUEIJO NOZINHO</t>
  </si>
  <si>
    <t xml:space="preserve">AMENDOIM SEM PELE ELMA CHIPS PACOTE 100G</t>
  </si>
  <si>
    <t xml:space="preserve">BATATA FRITA LISA LAYS CLÁSSICA PACOTE 70G</t>
  </si>
  <si>
    <t xml:space="preserve">BATATA FRITA ONDULADA RUFFLES CEBOLA E SALSA PACOTE 68G</t>
  </si>
  <si>
    <t xml:space="preserve">BATATA FRITA ONDULADA RUFFLES CHURRASCO PACOTE 68G</t>
  </si>
  <si>
    <t xml:space="preserve">BATATA FRITA ONDULADA RUFFLES ORIGINAL PACOTE 115G</t>
  </si>
  <si>
    <t xml:space="preserve">BATATA FRITA ONDULADA RUFFLES ORIGINAL PACOTE 68G</t>
  </si>
  <si>
    <t xml:space="preserve">OVINHOS DE AMENDOIM ELMA CHIPS PACOTE 65G</t>
  </si>
  <si>
    <t xml:space="preserve">SALGADINHO DE MILHO CHEETOS ONDA REQUEIJÃO PACOTE 105G</t>
  </si>
  <si>
    <t xml:space="preserve">SALGADINHO DE MILHO DORITOS QUEIJO NACHO PACOTE 120G</t>
  </si>
  <si>
    <t xml:space="preserve">SALGADINHO DE MILHO DORITOS QUEIJO NACHO PACOTE 75G</t>
  </si>
  <si>
    <t xml:space="preserve">SALGADINHO DE MILHO FANDANGOS PRESUNTO PACOTE 105G</t>
  </si>
  <si>
    <t xml:space="preserve">SALGADINHO TORCIDA CEBOLA 60G</t>
  </si>
  <si>
    <t xml:space="preserve">SALGADINHO TORCIDA CHURRASCO 60G</t>
  </si>
  <si>
    <t xml:space="preserve">SALGADINHO TORCIDA PIMENTA MEXICANA 60G</t>
  </si>
  <si>
    <t xml:space="preserve">ÁGUA SABORIZADA H2OH LIMONETO 500ML</t>
  </si>
  <si>
    <t xml:space="preserve">ÁGUA MINERAL COM GÁS CRYSTAL 500ML</t>
  </si>
  <si>
    <t xml:space="preserve">REFRIGERANTE PET SPRITE 2L</t>
  </si>
  <si>
    <t xml:space="preserve">REFRIGERANTE PET FANTA UVA 2L</t>
  </si>
  <si>
    <t xml:space="preserve">REFRIGERANTE PET FANTA LARANJA 2L</t>
  </si>
  <si>
    <t xml:space="preserve">ÁGUA MINERAL COM GÁS CRYSTAL 1,5L</t>
  </si>
  <si>
    <t xml:space="preserve">ESPUMANTE ARGENTINO CHANDON DEMI SEC GARRAFA 750ML</t>
  </si>
  <si>
    <t xml:space="preserve">VINHO BRANCO CHILENO CASILLERO DEL DIABLO RESERVA SAUVIGNON BLANC GARRAFA 750ML</t>
  </si>
  <si>
    <t xml:space="preserve">CATUABA SELVAGEM TRADICIONAL 1L</t>
  </si>
  <si>
    <t xml:space="preserve">BEBIDA MISTA SMIRNOFF ICE CLÁSSICA LATA 269ML</t>
  </si>
  <si>
    <t xml:space="preserve">CERVEJA PATAGONIA BOHEMIAN PILSENER LATA 350ML</t>
  </si>
  <si>
    <t xml:space="preserve">COQUETEL ALCOÓLICO COROTE CACHAÇA ADOÇADA 500ML</t>
  </si>
  <si>
    <t xml:space="preserve">Água Mineral Com Gás Minalba 1,5l</t>
  </si>
  <si>
    <t xml:space="preserve">Água Mineral Sem Gás Crystal 1,5L</t>
  </si>
  <si>
    <t xml:space="preserve">AGUA SEM GÁS MINALBA 1,5L</t>
  </si>
  <si>
    <t xml:space="preserve">CERVEJA BRAHMA CHOPP LATA 269ML</t>
  </si>
  <si>
    <t xml:space="preserve">CERVEJA BRAHMA CHOPP 350ML</t>
  </si>
  <si>
    <t xml:space="preserve">CERVEJA COLORADO RIBEIRÃO LAGER 350ML</t>
  </si>
  <si>
    <t xml:space="preserve">CERVEJA ANTARTICA ORIGINAL 350ML</t>
  </si>
  <si>
    <t xml:space="preserve">CERVEJA SKOL 350ML</t>
  </si>
  <si>
    <t xml:space="preserve">BEATS RED MIX 269ML </t>
  </si>
  <si>
    <t xml:space="preserve">BEATS GT 269ML</t>
  </si>
  <si>
    <t xml:space="preserve">AGUA MINERAL COM GÁS MINALBA 510ML</t>
  </si>
  <si>
    <t xml:space="preserve">AGUA MINERAL SEM GÁS MINALBA 510ML</t>
  </si>
  <si>
    <t xml:space="preserve">CERVEJA PATAGONIA AMBER LAGER 350ML</t>
  </si>
  <si>
    <t xml:space="preserve">CERVEJA ANTARTICA 350ML</t>
  </si>
  <si>
    <t xml:space="preserve">AGUA SABORIZADA H2OH LIMÃO 1,5L</t>
  </si>
  <si>
    <t xml:space="preserve">CERVEJA BUDWEISER ZERO 350ML</t>
  </si>
  <si>
    <t xml:space="preserve">REFRIGERANTE PET PEPSI 2L</t>
  </si>
  <si>
    <t xml:space="preserve">BRAHMA ZERO 350ML</t>
  </si>
  <si>
    <t xml:space="preserve">FAST GELO 3KG</t>
  </si>
  <si>
    <t xml:space="preserve">AGUA LINDOYA PREMIUM C/GAS 510ML</t>
  </si>
  <si>
    <t xml:space="preserve">AGUA LINDOYA PREMIUM 1,5L</t>
  </si>
  <si>
    <t xml:space="preserve">AGUA TONICA GARRAFA 1L</t>
  </si>
  <si>
    <t xml:space="preserve">AGUA TONICA ANTARTICA 350ML</t>
  </si>
  <si>
    <t xml:space="preserve">AGUA TONICA FEVER TREE INDIAN 200ML</t>
  </si>
  <si>
    <t xml:space="preserve">AGUA TONICA SCHWEPPES LATA 350ML</t>
  </si>
  <si>
    <t xml:space="preserve">AGUA TONICA SCHWEPPES ZERO 350ML</t>
  </si>
  <si>
    <t xml:space="preserve">AGUA TONICA ST PIERRE LATA 270ML</t>
  </si>
  <si>
    <t xml:space="preserve">AGUA TONICA ANTARTICA ZERO LATA 350ML</t>
  </si>
  <si>
    <t xml:space="preserve">AGUA TONICA ZERO ST PIERRE LATA 270ML</t>
  </si>
  <si>
    <t xml:space="preserve">APERITIVO APEROL 750ML</t>
  </si>
  <si>
    <t xml:space="preserve">APERITIVO CAMPARI 998ML</t>
  </si>
  <si>
    <t xml:space="preserve">CHA BAER-MATE 350 ML</t>
  </si>
  <si>
    <t xml:space="preserve">CACHAÇA BANANAZINHA GARRAFA 900ML</t>
  </si>
  <si>
    <t xml:space="preserve">CACHAÇA ESPIRITO DE MINAS 700ML</t>
  </si>
  <si>
    <t xml:space="preserve">CACHAÇA SAGATIBA 700ML</t>
  </si>
  <si>
    <t xml:space="preserve">LICOR 43 TRADICIONAL 700 ML</t>
  </si>
  <si>
    <t xml:space="preserve">LICOR 43 TRADICIONAL 700ML ON TRADE</t>
  </si>
  <si>
    <t xml:space="preserve">LICOR AMARULA 750ML</t>
  </si>
  <si>
    <t xml:space="preserve">LICOR BAILEYS 750ML</t>
  </si>
  <si>
    <t xml:space="preserve">LICOR BALLENA MORANGO 750ML</t>
  </si>
  <si>
    <t xml:space="preserve">LICOR MALIBU 750ML</t>
  </si>
  <si>
    <t xml:space="preserve">APERITIVO LILLET BLANC 750 ML</t>
  </si>
  <si>
    <t xml:space="preserve">XAROPE MONIN CRANBERRY 700ML</t>
  </si>
  <si>
    <t xml:space="preserve">XAROPE MONIN GENGIBRE 700ML</t>
  </si>
  <si>
    <t xml:space="preserve">XAROPE MONIN MAÇA VERDE 700ML</t>
  </si>
  <si>
    <t xml:space="preserve">XAROPE MONIN TANGERINA 700ML</t>
  </si>
  <si>
    <t xml:space="preserve">RUM BACARDI PRATA 980ML</t>
  </si>
  <si>
    <t xml:space="preserve">SAQUE AZUMA KIRIN DOURADO 740ML</t>
  </si>
  <si>
    <t xml:space="preserve">TEQUILA HERENCIA DE PLATA 700ML</t>
  </si>
  <si>
    <t xml:space="preserve">TEQUILA JOSE CUERVO GOLD 750ML</t>
  </si>
  <si>
    <t xml:space="preserve">CERVEJA AMSTEL LATA 350ML</t>
  </si>
  <si>
    <t xml:space="preserve">CERVEJA BECKS LONG 330ML</t>
  </si>
  <si>
    <t xml:space="preserve">CERVEJA BRAHMA DUPLO MALTE LATA 350ML</t>
  </si>
  <si>
    <t xml:space="preserve">CERVEJA BUDWEISER LATA 269ML</t>
  </si>
  <si>
    <t xml:space="preserve">CERVEJA BUDWEISER LATA 350ML</t>
  </si>
  <si>
    <t xml:space="preserve">CERVEJA BUDWEISER LONG 330ML</t>
  </si>
  <si>
    <t xml:space="preserve">CERVEJA COLORADO APPIA GARRAFA 600ML</t>
  </si>
  <si>
    <t xml:space="preserve">CERVEJA COLORADO RIBEIRAO LAGER GARRAFA 600ML</t>
  </si>
  <si>
    <t xml:space="preserve">CERVEJA CORONA LONG 330ML</t>
  </si>
  <si>
    <t xml:space="preserve">CERVEJA HEINEKEN LATA 250ML</t>
  </si>
  <si>
    <t xml:space="preserve">CERVEJA HEINEKEN ZERO LATA 350ML</t>
  </si>
  <si>
    <t xml:space="preserve">CERVEJA HEINEKEN LONG 0.0 (SEM ALCOOL) 330ML</t>
  </si>
  <si>
    <t xml:space="preserve">CERVEJA HEINEKEN LATA 269ML</t>
  </si>
  <si>
    <t xml:space="preserve">CERVEJA HEINEKEN LONG 330ML</t>
  </si>
  <si>
    <t xml:space="preserve">CERVEJA HEINEKEN 600ML DESCARTAVEL</t>
  </si>
  <si>
    <t xml:space="preserve">CERVEJA HEINEKEN 600ML RETORNAVEL</t>
  </si>
  <si>
    <t xml:space="preserve">CERVEJA LAGUNITA LONG 350ML</t>
  </si>
  <si>
    <t xml:space="preserve">CERVEJA MICHELOB ULTRA 355ML</t>
  </si>
  <si>
    <t xml:space="preserve">CERVEJA SKOL LATA 269ML</t>
  </si>
  <si>
    <t xml:space="preserve">CERVEJA SKOL PURE MALTE LATA 269ML</t>
  </si>
  <si>
    <t xml:space="preserve">CERVEJA SOL LONG 330ML</t>
  </si>
  <si>
    <t xml:space="preserve">CERVEJA SPATEN LONG 355ML</t>
  </si>
  <si>
    <t xml:space="preserve">CERVEJA STELLA ARTOIS LATA 269ML</t>
  </si>
  <si>
    <t xml:space="preserve">CERVEJA STELLA ARTOIS LONG 330ML</t>
  </si>
  <si>
    <t xml:space="preserve">CERVEJA STELLA ARTOIS PURE GOLD LONG 330ML</t>
  </si>
  <si>
    <t xml:space="preserve">CERVEJA COLORADO INDICA GARRAFA 600ML</t>
  </si>
  <si>
    <t xml:space="preserve">ENERGETICO BALY MELANCIA GARRAFA 2L</t>
  </si>
  <si>
    <t xml:space="preserve">ENERGETICO BALY TROPICAL GARRAFA 2L</t>
  </si>
  <si>
    <t xml:space="preserve">ENERGETICO FUSION GARRAFA 1L</t>
  </si>
  <si>
    <t xml:space="preserve">ENERGETICO MONSTER ENERGY LATA 473ML</t>
  </si>
  <si>
    <t xml:space="preserve">ENERGETICO MONSTER MANGO LOCO LATA 473ML</t>
  </si>
  <si>
    <t xml:space="preserve">ENERGETICO RED BULL LATA 250ML</t>
  </si>
  <si>
    <t xml:space="preserve">ENERGETICO RED BULL MELANCIA LATA 250ML</t>
  </si>
  <si>
    <t xml:space="preserve">ENERGETICO RED BULL SUGAR FREE LATA 250ML</t>
  </si>
  <si>
    <t xml:space="preserve">ENERGETICO RED BULL TROPICAL LATA 250ML</t>
  </si>
  <si>
    <t xml:space="preserve">ENERGETICO VIBE GARRAFA 2L</t>
  </si>
  <si>
    <t xml:space="preserve">RTD EASY BOOZE GINGER GIN LATA 269ML</t>
  </si>
  <si>
    <t xml:space="preserve">RTD EASY BOOZE PINK LEMON LATA 269ML</t>
  </si>
  <si>
    <t xml:space="preserve">RTD EASY BOOZE RED MINT LATA 269ML</t>
  </si>
  <si>
    <t xml:space="preserve">RTD SKOL BEATS LATA 269ML</t>
  </si>
  <si>
    <t xml:space="preserve">RTD SKOL BEATS LONG 269ML</t>
  </si>
  <si>
    <t xml:space="preserve">RTD SMIRNOFF ICE LONG 275ML</t>
  </si>
  <si>
    <t xml:space="preserve">ESPUMANTE CHANDON BRUT GARRAFA 750ML</t>
  </si>
  <si>
    <t xml:space="preserve">ESPUMANTE CHANDON ROSE GARRAFA 750ML</t>
  </si>
  <si>
    <t xml:space="preserve">CHAMPAGNE VEUVE CLICQUOT BRUT 750ML</t>
  </si>
  <si>
    <t xml:space="preserve">ESPUMANTE SALTON BRUT 750ML</t>
  </si>
  <si>
    <t xml:space="preserve">GIN BEEFEATER 750ML</t>
  </si>
  <si>
    <t xml:space="preserve">GIN BEEFEATER PINK 750ML</t>
  </si>
  <si>
    <t xml:space="preserve">GIN BOMBAY SAPHIRE 750ML</t>
  </si>
  <si>
    <t xml:space="preserve">GIN BURLONE 950ML</t>
  </si>
  <si>
    <t xml:space="preserve">GIN GORDON'S 750ML</t>
  </si>
  <si>
    <t xml:space="preserve">GIN PRISION HOMEMADE 700ML</t>
  </si>
  <si>
    <t xml:space="preserve">GIN SEAGERS 980ML</t>
  </si>
  <si>
    <t xml:space="preserve">GIN TANQUERAY 750ML</t>
  </si>
  <si>
    <t xml:space="preserve">GIN TUDO 1L</t>
  </si>
  <si>
    <t xml:space="preserve">REFRIGERANTE COCA COLA GARRAFA 2L</t>
  </si>
  <si>
    <t xml:space="preserve">REFRIGERANTE COCA COLA LATA 350ML</t>
  </si>
  <si>
    <t xml:space="preserve">REFRIGERANTE COCA COLA ZERO GARRAFA 2L</t>
  </si>
  <si>
    <t xml:space="preserve">REFRIGERANTE COCA COLA ZERO LATA 350ML</t>
  </si>
  <si>
    <t xml:space="preserve">REFRIGERANTE FANTA LARANJA LATA 350ML</t>
  </si>
  <si>
    <t xml:space="preserve">REFRIGERANTE GUARANA ANTARTICA GARRAFA 2L</t>
  </si>
  <si>
    <t xml:space="preserve">REFRIGERANTE GUARANA ANTARTICA ZERO LATA 350ML</t>
  </si>
  <si>
    <t xml:space="preserve">REFRIGERANTE SCHWEPPES CITRUS LATA 350ML</t>
  </si>
  <si>
    <t xml:space="preserve">REFRIGERANTE SPRITE LATA 350ML</t>
  </si>
  <si>
    <t xml:space="preserve">REFRIGERANTE ST PIERRE PINK LEMONADE LATA 270ML</t>
  </si>
  <si>
    <t xml:space="preserve">REFRIGERANTE ST PIERRE RED MINT LATA 270ML</t>
  </si>
  <si>
    <t xml:space="preserve">SUCO DEL VALLE DE ABACAXI 1L</t>
  </si>
  <si>
    <t xml:space="preserve">SUCO DEL VALLE DE LARANJA 1L</t>
  </si>
  <si>
    <t xml:space="preserve">SUCO DEL VALLE DE MARACUJA 1L</t>
  </si>
  <si>
    <t xml:space="preserve">SUCO DEL VALLE DE MARACUJA LATA 290ML</t>
  </si>
  <si>
    <t xml:space="preserve">SUCO DEL VALLE DE UVA LATA 290ML</t>
  </si>
  <si>
    <t xml:space="preserve">VINHO ANGELICA ZAPATA MALBEC 750ML</t>
  </si>
  <si>
    <t xml:space="preserve">VINHO TRAPICHE CABERNET SAUVIGNON ARGENTINO 750ML</t>
  </si>
  <si>
    <t xml:space="preserve">VINHO TRAPICHE MALBEC ARGENTINO 750ML</t>
  </si>
  <si>
    <t xml:space="preserve">VINHO ATLÂNTICO ROSE 750ML</t>
  </si>
  <si>
    <t xml:space="preserve">VINHO ATLÂNTICO TINTO 750ML</t>
  </si>
  <si>
    <t xml:space="preserve">VINHO CASAL GARCIA ROSE 750ML</t>
  </si>
  <si>
    <t xml:space="preserve">VINHO CASAL GARCIA TINTO 750ML</t>
  </si>
  <si>
    <t xml:space="preserve">VINHO CASAL GARCIA VERDE 750ML</t>
  </si>
  <si>
    <t xml:space="preserve">VINHO CASILLERO DEL DIABLO CABERNET SAUVIGNON 750ML</t>
  </si>
  <si>
    <t xml:space="preserve">VINHO CASILLERO DEL DIABLO CHARDONNAY 750ML</t>
  </si>
  <si>
    <t xml:space="preserve">VINHO CASILLERO DEL DIABLO MERLOT 750ML</t>
  </si>
  <si>
    <t xml:space="preserve">VINHO CHILANO CABERNET SAUVIGNON 750ML</t>
  </si>
  <si>
    <t xml:space="preserve">VINHO CHILANO ROSE 750ML</t>
  </si>
  <si>
    <t xml:space="preserve">VINHO CHILANO SAUVIGNON BLANC 750ML</t>
  </si>
  <si>
    <t xml:space="preserve">VINHO DO PAPA 750ML</t>
  </si>
  <si>
    <t xml:space="preserve">VINHO MARQUES DE CASA CONCHA CABERNET SAUVIGNON 750ML</t>
  </si>
  <si>
    <t xml:space="preserve">VINHO PERIQUITA TINTO 750ML</t>
  </si>
  <si>
    <t xml:space="preserve">VINHO QUINTA DE BONS-VENTOS ROSE 750ML</t>
  </si>
  <si>
    <t xml:space="preserve">VINHO QUINTA DE BONS-VENTOS TINTO 750ML</t>
  </si>
  <si>
    <t xml:space="preserve">VINHO CONCHA Y TORO RESERVADO CABERNET SAUVIGNON 750ML</t>
  </si>
  <si>
    <t xml:space="preserve">VINHO CONCHA Y TORO RESERVADO CARMENERE 750ML</t>
  </si>
  <si>
    <t xml:space="preserve">VINHO CONCHA Y TORO RESERVADO ROSE 750ML</t>
  </si>
  <si>
    <t xml:space="preserve">VINHO CONCHA Y TORO RESERVADO SAUVIGNON BLANC 750ML</t>
  </si>
  <si>
    <t xml:space="preserve">VINHO CONCHA Y TORO RESERVADO SWEET RED 750ML</t>
  </si>
  <si>
    <t xml:space="preserve">VINHO ROSE PISCINE 750ML</t>
  </si>
  <si>
    <t xml:space="preserve">VINHO SANTA CAROLINA RESERVADO CABERNET SAUVIGNON 750ML</t>
  </si>
  <si>
    <t xml:space="preserve">VINHO SANTA CAROLINA RESERVADO CHARDONNAY 750ML</t>
  </si>
  <si>
    <t xml:space="preserve">VINHO TANTEHUE CABERNET SAUVIGNON 750ML</t>
  </si>
  <si>
    <t xml:space="preserve">VINHO TANTEHUE CHARDONNAY 750ML</t>
  </si>
  <si>
    <t xml:space="preserve">VINHO THE GRILL MASTER BRANCO 750ML</t>
  </si>
  <si>
    <t xml:space="preserve">VINHO THE GRILL MASTER TINTO 750ML</t>
  </si>
  <si>
    <t xml:space="preserve">VINHO TINTO YELLOW TAIL SHIRAZ 750 ML</t>
  </si>
  <si>
    <t xml:space="preserve">VINHO TORO LOCO TEMPRANILLO 750ML</t>
  </si>
  <si>
    <t xml:space="preserve">VODKA ABSOLUT 1L</t>
  </si>
  <si>
    <t xml:space="preserve">VODKA ABSOLUT 750ML</t>
  </si>
  <si>
    <t xml:space="preserve">VODKA BELVEDERE 700ML</t>
  </si>
  <si>
    <t xml:space="preserve">VODKA CIROC GARRAFA 750ML</t>
  </si>
  <si>
    <t xml:space="preserve">VODKA GREYGOOSE 750ML</t>
  </si>
  <si>
    <t xml:space="preserve">VODKA KETEL ONE 1L</t>
  </si>
  <si>
    <t xml:space="preserve">VODKA SMIRNOFF 998ML</t>
  </si>
  <si>
    <t xml:space="preserve">VODKA WYBOROWA 750ML</t>
  </si>
  <si>
    <t xml:space="preserve">WHISKY BALLANTINE'S 8Y 1L</t>
  </si>
  <si>
    <t xml:space="preserve">WHISKY CHIVAS REGAL 12 ANOS 1L</t>
  </si>
  <si>
    <t xml:space="preserve">WHISKY FIREBALL 750ML</t>
  </si>
  <si>
    <t xml:space="preserve">WHISKY JACK DANIEL'S OLD N°07 1L</t>
  </si>
  <si>
    <t xml:space="preserve">WHISKY JAMESON 750ML</t>
  </si>
  <si>
    <t xml:space="preserve">WHISKY JOHNNIE WALKER BLACK LABEL 1L</t>
  </si>
  <si>
    <t xml:space="preserve">WHISKY JOHNNIE WALKER GOLD LABEL 750ML</t>
  </si>
  <si>
    <t xml:space="preserve">WHISKY JOHNNIE WALKER RED LABEL 1L</t>
  </si>
  <si>
    <t xml:space="preserve">WHISKY WHITE HORSE 8 ANOS 1L</t>
  </si>
  <si>
    <t xml:space="preserve">WHISKY JACK DANIEL'S FIRE 1L</t>
  </si>
  <si>
    <t xml:space="preserve">WHISKY JACK DANIEL'S HONEY 1L</t>
  </si>
  <si>
    <t xml:space="preserve">REFRIGERANTE PEPSI LATA 350ML</t>
  </si>
  <si>
    <t xml:space="preserve">REFRIGERANTE PEPSI BLACK LATA 350ML</t>
  </si>
  <si>
    <t xml:space="preserve">SUCO DEL VALLE DE UVA 1L</t>
  </si>
  <si>
    <t xml:space="preserve">REFRIGERANTE SODA LIMONADA LATA 350ML</t>
  </si>
  <si>
    <t xml:space="preserve">WHISKY CHIVAS REGAL 12 ANOS 750ML</t>
  </si>
  <si>
    <t xml:space="preserve">AGUA TONICA DILLAR'S GARRAFA 1,5L</t>
  </si>
  <si>
    <t xml:space="preserve">SUCO DEL VALLE DE PESSEGO 1L</t>
  </si>
  <si>
    <t xml:space="preserve">VODKA SOLLUM 1L</t>
  </si>
  <si>
    <t xml:space="preserve">SUCO DEL VALLE DE PESSEGO LATA 290ML</t>
  </si>
  <si>
    <t xml:space="preserve">CERVEJA ORIGINAL LATA 269ML</t>
  </si>
  <si>
    <t xml:space="preserve">RUM BACARDI OURO 980ML</t>
  </si>
  <si>
    <t xml:space="preserve">CERVEJA ORIGINAL 600ML DESCARTAVEL</t>
  </si>
  <si>
    <t xml:space="preserve">CERVEJA ORIGINAL 600ML RETORNAVEL</t>
  </si>
  <si>
    <t xml:space="preserve">REFRIGERANTE ST. PIERRE GINGER LATA 270ML</t>
  </si>
  <si>
    <t xml:space="preserve">WHISKY BUCHANAN'S 1L</t>
  </si>
  <si>
    <t xml:space="preserve">VODKA CIROC RED BERRY 750ML</t>
  </si>
  <si>
    <t xml:space="preserve">CACHAÇA SALINAS 1L</t>
  </si>
  <si>
    <t xml:space="preserve">APERITIVO JAGERMEISTER 700ML</t>
  </si>
  <si>
    <t xml:space="preserve">CACHAÇA SELETA OURO 700ML</t>
  </si>
  <si>
    <t xml:space="preserve">VODKA STOLICHNAYA 750ML</t>
  </si>
  <si>
    <t xml:space="preserve">ENERGETICO LONG ONE GARRAFA 2L</t>
  </si>
  <si>
    <t xml:space="preserve">SUCO DEL VALLE MANGA LATA 269ML</t>
  </si>
  <si>
    <t xml:space="preserve">WHISKY DEWAR'S 12 ANOS 750 ML</t>
  </si>
  <si>
    <t xml:space="preserve">VINHO GRANATA CABERNET SAUVIGNON 750 ML</t>
  </si>
  <si>
    <t xml:space="preserve">VINHO GIMENEZ RILLI DE NOS BLEND 750ML</t>
  </si>
  <si>
    <t xml:space="preserve">VINHO GIMENEZ RILLI BUENOS HERMANOS CABERNET 750ML</t>
  </si>
  <si>
    <t xml:space="preserve">VINHO GIMENEZ RILLI BUENOS HERMANOS MALBEC 750ML</t>
  </si>
  <si>
    <t xml:space="preserve">LICOR DON LUIZ URSO DULCE DE LECHE 750ML</t>
  </si>
  <si>
    <t xml:space="preserve">RTD EASY BOOZE GIN TONICA LATA 269ML</t>
  </si>
  <si>
    <t xml:space="preserve">RTD EASY BOOZE SPRITZ LATA 269ML</t>
  </si>
  <si>
    <t xml:space="preserve">CERVEJA BECKS LATA 350ML</t>
  </si>
  <si>
    <t xml:space="preserve">GIN 47 LONDON DRY 920ML</t>
  </si>
  <si>
    <t xml:space="preserve">WHISKY OLD PARR 1L</t>
  </si>
  <si>
    <t xml:space="preserve">ENERGETICO V-POWER 2L</t>
  </si>
  <si>
    <t xml:space="preserve">VINHO JURUPINGA 975ML</t>
  </si>
  <si>
    <t xml:space="preserve">REFRIGERANTE SODA GARRAFA 2L</t>
  </si>
  <si>
    <t xml:space="preserve">CACHAÇA VELHO BARREIRO 910ML</t>
  </si>
  <si>
    <t xml:space="preserve">VODKA KRESKOVA 700ML</t>
  </si>
  <si>
    <t xml:space="preserve">VINHO ESPORAO RESERVA BRANCO 750ML</t>
  </si>
  <si>
    <t xml:space="preserve">VINHO MONTE VELHO TINTO 750ML</t>
  </si>
  <si>
    <t xml:space="preserve">VINHO MONTE VELHO BIOLOGICO TINTO 750ML</t>
  </si>
  <si>
    <t xml:space="preserve">VINHO MONTE VELHO BRANCO 750ML</t>
  </si>
  <si>
    <t xml:space="preserve">VINHO ALANDRA TINTO 750ML</t>
  </si>
  <si>
    <t xml:space="preserve">VINHO ALANDRA BRANCO 750ML</t>
  </si>
  <si>
    <t xml:space="preserve">VINHO PE TINTO 750ML</t>
  </si>
  <si>
    <t xml:space="preserve">VINHO PE BRANCO 750ML</t>
  </si>
  <si>
    <t xml:space="preserve">VINHO ASSOBIO DOURO TINTO 750ML</t>
  </si>
  <si>
    <t xml:space="preserve">VINHO ASSOBIO DOURO BRANCO 750ML</t>
  </si>
  <si>
    <t xml:space="preserve">VINHO ASSOBIO DOURO ROSE 750ML</t>
  </si>
  <si>
    <t xml:space="preserve">VINHO BICO AMARELO BRANCO 750ML</t>
  </si>
  <si>
    <t xml:space="preserve">VINHO KAIKEN ULTRA CHARDONNAY 750ML</t>
  </si>
  <si>
    <t xml:space="preserve">VINHO KAIKEN PINOT NOIR TINTO 750ML</t>
  </si>
  <si>
    <t xml:space="preserve">VINHO KAIKEN ESTATE MALBEC 750ML</t>
  </si>
  <si>
    <t xml:space="preserve">VINHO KAIKEN ESTATE CABERNET SAUVIGNON 750ML</t>
  </si>
  <si>
    <t xml:space="preserve">VINHO KAIKEN ESTATE SEMILLON BLANC 750ML</t>
  </si>
  <si>
    <t xml:space="preserve">VINHO KAIKEN ESTATE MALBEC ROSE 750ML</t>
  </si>
  <si>
    <t xml:space="preserve">VINHO KAIKEN ESTATE CHARDONNAY 750ML</t>
  </si>
  <si>
    <t xml:space="preserve">AGUA TONICA FEVER TREE MEDITERRANEAN 200ML</t>
  </si>
  <si>
    <t xml:space="preserve">GIN TANQUERAY SEVILLA 700ML</t>
  </si>
  <si>
    <t xml:space="preserve">LICOR 43 CHOCOLATE 700 ML</t>
  </si>
  <si>
    <t xml:space="preserve">VINHO MOSQUITA MUERTA BLEND DE TINTAS 750ML</t>
  </si>
  <si>
    <t xml:space="preserve">VINHO MOSQUITA MUERTA MALBEC 750ML</t>
  </si>
  <si>
    <t xml:space="preserve">VINHO MOSQUITA MUERTA BLEND DE BLANCAS 750ML</t>
  </si>
  <si>
    <t xml:space="preserve">VINHO CORDERO CON PIEL DE LOBO BLEND DE TINTAS 750ML</t>
  </si>
  <si>
    <t xml:space="preserve">VINHO CORDERO CON PIEL DE LOBO CHARDONNAY 750ML</t>
  </si>
  <si>
    <t xml:space="preserve">VINHO CORDERO CON PIEL DE LOBO MALBEC 750ML</t>
  </si>
  <si>
    <t xml:space="preserve">VINHO CORDERO CON PIEL DE LOBO ROSE MALBEC 750ML</t>
  </si>
  <si>
    <t xml:space="preserve">VINHO PISPI BLEND DE TINTAS 750ML</t>
  </si>
  <si>
    <t xml:space="preserve">VINHO FLINTSTONE CABERNET FRANC 750 ML</t>
  </si>
  <si>
    <t xml:space="preserve">VINHO PEREZ CRUZ 750ML</t>
  </si>
  <si>
    <t xml:space="preserve">WHISKY JACK DANIEL'S APPLE 1L</t>
  </si>
  <si>
    <t xml:space="preserve">GIN BOMBAY SAPHIRE 1.750ML</t>
  </si>
  <si>
    <t xml:space="preserve">VERMOUTH MARTINI ROSSO 750ML</t>
  </si>
  <si>
    <t xml:space="preserve">WHISKY ROYAL SALUTE 21 ANOS 700ML</t>
  </si>
  <si>
    <t xml:space="preserve">SAQUE NACIONAL AZUMA KIRIN DRY 600ML</t>
  </si>
  <si>
    <t xml:space="preserve">AGUA TONICA ANTARTICA GARRAFA 1L</t>
  </si>
  <si>
    <t xml:space="preserve">ENERGETICO RED BULL MORANGO PESSEGO LATA 250ML</t>
  </si>
  <si>
    <t xml:space="preserve">VODKA GREYGOOSE 1.500ML</t>
  </si>
  <si>
    <t xml:space="preserve">CERVEJA AMSTEL LATA 269ML</t>
  </si>
  <si>
    <t xml:space="preserve">ESPUMANTE SALTON DEMI-SEC 750ML</t>
  </si>
  <si>
    <t xml:space="preserve">CERVEJA EISENBAHN 600ML</t>
  </si>
  <si>
    <t xml:space="preserve">REFRIGERANTE GUARANA ANTARTICA ZERO GARRAFA 2L</t>
  </si>
  <si>
    <t xml:space="preserve">TEQUILA JOSE CUERVO SILVER 750ML</t>
  </si>
  <si>
    <t xml:space="preserve">CACHAÇA AGUARDENTE 51 965ML</t>
  </si>
  <si>
    <t xml:space="preserve">SUCO MAGUARY MORANGO 1L</t>
  </si>
  <si>
    <t xml:space="preserve">CERVEJA CASCO 600ML</t>
  </si>
  <si>
    <t xml:space="preserve">GIN ROKU 700ML</t>
  </si>
  <si>
    <t xml:space="preserve">GIN LARIOS 12 700 ML</t>
  </si>
  <si>
    <t xml:space="preserve">SUCO DEL VALLE LIMAO 1,5L</t>
  </si>
  <si>
    <t xml:space="preserve">VODKA STOLICHNAYA 1L</t>
  </si>
  <si>
    <t xml:space="preserve">ISOTONICO GATORADE FRUTAS CITRICAS 500ML</t>
  </si>
  <si>
    <t xml:space="preserve">ISOTONICO GATORADE LIMAO 500ML</t>
  </si>
  <si>
    <t xml:space="preserve">ISOTONICO GATORADE MARACUJA E MORANGO 500ML</t>
  </si>
  <si>
    <t xml:space="preserve">ISOTONICO GATORADE TANGERINA 500ML</t>
  </si>
  <si>
    <t xml:space="preserve">ISOTONICO GATORADE UVA 500ML</t>
  </si>
  <si>
    <t xml:space="preserve">VODKA PINNACLE 1L</t>
  </si>
  <si>
    <t xml:space="preserve">WHISKY JIM BEAM HONEY 1L</t>
  </si>
  <si>
    <t xml:space="preserve">WHISKY JIM BEAM APPLE 1L</t>
  </si>
  <si>
    <t xml:space="preserve">WHISKY JIM BEAM WHITE BOURBON 1L</t>
  </si>
  <si>
    <t xml:space="preserve">WHISKY JIM BEAM WHITE BOURBON 1L ON TRADE</t>
  </si>
  <si>
    <t xml:space="preserve">VODKA HAKU 700 ML</t>
  </si>
  <si>
    <t xml:space="preserve">GIN LARIOS ROSE 700 ML</t>
  </si>
  <si>
    <t xml:space="preserve">XAROPE MONIN COCO 700 ML</t>
  </si>
  <si>
    <t xml:space="preserve">REFRIGERANTE ITUBAINA 350ML</t>
  </si>
  <si>
    <t xml:space="preserve">CERVEJA EISENBAHN PILSEN LONG 355ML</t>
  </si>
  <si>
    <t xml:space="preserve">AGUA TONICA ANTARTICA 3 LIMOES 269ML</t>
  </si>
  <si>
    <t xml:space="preserve">AGUA TONICA ANTARTICA GENGIBRE 269ML</t>
  </si>
  <si>
    <t xml:space="preserve">VINHO CHILANO MERLOT 750 ML</t>
  </si>
  <si>
    <t xml:space="preserve">AGUA DE COCO DUCOCO 330ML</t>
  </si>
  <si>
    <t xml:space="preserve">AGUA DE COCO DUCOCO 1L</t>
  </si>
  <si>
    <t xml:space="preserve">VINHO MALEVO 750ML</t>
  </si>
  <si>
    <t xml:space="preserve">ESPUMA BACCO SPIRIT GENGIBRE 200ML</t>
  </si>
  <si>
    <t xml:space="preserve">COQUETEL BACCO SPIRIT MOSCOW MULE 750ML</t>
  </si>
  <si>
    <t xml:space="preserve">AGUA TONICA BRITVIC INDIAN 220ML</t>
  </si>
  <si>
    <t xml:space="preserve">VODKA NIZYA 750ML</t>
  </si>
  <si>
    <t xml:space="preserve">XAROPE MONIN MANGA 700ML</t>
  </si>
  <si>
    <t xml:space="preserve">ENERGETICO LONG NIGHT GARRAFA 2L</t>
  </si>
  <si>
    <t xml:space="preserve">ENERGETICO FUSION GARRAFA 2L</t>
  </si>
  <si>
    <t xml:space="preserve">SUCO MAGUARY LARANJA 1L</t>
  </si>
  <si>
    <t xml:space="preserve">SUCO MAGUARY UVA 1L</t>
  </si>
  <si>
    <t xml:space="preserve">XAROPE MONIN MOJITO MINT 700ML</t>
  </si>
  <si>
    <t xml:space="preserve">XAROPE MONIN GRENADINE 700ML</t>
  </si>
  <si>
    <t xml:space="preserve">CERVEJA AMSTEL 600ML</t>
  </si>
  <si>
    <t xml:space="preserve">GIN BOMBAY SAPHIRE BRAMBLE 700ML</t>
  </si>
  <si>
    <t xml:space="preserve">REFRIGERANTE FANTA GUARANA ZERO LATA 350ML</t>
  </si>
  <si>
    <t xml:space="preserve">REFRIGERANTE FANTA GUARANA LATA 350ML</t>
  </si>
  <si>
    <t xml:space="preserve">REFRIGERANTE GUARANA ANTARTICA LATA 350ML</t>
  </si>
  <si>
    <t xml:space="preserve">CERVEJA HEINEKEN LATA 350ML</t>
  </si>
  <si>
    <t xml:space="preserve">XAROPE MONIN PESSEGO 700ML</t>
  </si>
  <si>
    <t xml:space="preserve">XAROPE MONIN KIWI 700ML</t>
  </si>
  <si>
    <t xml:space="preserve">XAROPE MONIN ABACAXI 700ML</t>
  </si>
  <si>
    <t xml:space="preserve">XAROPE MONIN AMENDOA 700ML</t>
  </si>
  <si>
    <t xml:space="preserve">SUCO FAN MORANGO COM LICHIA 265ML</t>
  </si>
  <si>
    <t xml:space="preserve">SUCO FAN MAÇA VERDE 265ML</t>
  </si>
  <si>
    <t xml:space="preserve">SUCO FAN UVA VERDE 265ML</t>
  </si>
  <si>
    <t xml:space="preserve">XAROPE MONIN TORANJA 700ML</t>
  </si>
  <si>
    <t xml:space="preserve">GIN BULLDOG LONDON DRY 750ML</t>
  </si>
  <si>
    <t xml:space="preserve">VODKA SKYY 980ML</t>
  </si>
  <si>
    <t xml:space="preserve">Cachaça Seleta Prata 1l</t>
  </si>
  <si>
    <t xml:space="preserve">Cerveja Becks Puro Malte 350 mL Lata</t>
  </si>
  <si>
    <t xml:space="preserve">Cerveja Colorado Appia, 600ml, Garrafa</t>
  </si>
  <si>
    <t xml:space="preserve">Chandon Espumante Riche Demi-Sec</t>
  </si>
  <si>
    <t xml:space="preserve">Coca-Cola Original Refrigerante Original</t>
  </si>
  <si>
    <t xml:space="preserve">Elma Chips Ruffles Batata Frita Ondulada Original</t>
  </si>
  <si>
    <t xml:space="preserve">Jackg Daniels e Cola</t>
  </si>
  <si>
    <t xml:space="preserve">Santa Helena Vinho Branco Chileno</t>
  </si>
  <si>
    <t xml:space="preserve">Smirnoff Ice Vodka Bebida Mista 275ml </t>
  </si>
  <si>
    <t xml:space="preserve">Vodka Smirnoff Natural 998 mÑ</t>
  </si>
  <si>
    <t xml:space="preserve">CERVEJA AMSTEL ULTRA LATA 269ML</t>
  </si>
  <si>
    <t xml:space="preserve">ÁGUA TONICA ANTARTICA GARRAFA 1L</t>
  </si>
  <si>
    <t xml:space="preserve">AGUA DE COCO QUADRADO 1L</t>
  </si>
  <si>
    <t xml:space="preserve">VODKA ORLOFF 1L</t>
  </si>
  <si>
    <t xml:space="preserve">WHISKY BALLANTINE'S 12 ANOS 1L</t>
  </si>
  <si>
    <t xml:space="preserve">GIN STAR OF BOMBAY 750ML</t>
  </si>
  <si>
    <t xml:space="preserve">VODKA GREY GOOSE NIGTH VISION 1,75L</t>
  </si>
  <si>
    <t xml:space="preserve">VINHO CONCHA Y TORO RESERVADO CHARDONNAY 750ML</t>
  </si>
  <si>
    <t xml:space="preserve">WHISKY PASSPORT 1L</t>
  </si>
  <si>
    <t xml:space="preserve">REFRIGERANTE ITUBAINA 500ML</t>
  </si>
  <si>
    <t xml:space="preserve">SUCO SUFRESH LARANJA 1L</t>
  </si>
  <si>
    <t xml:space="preserve">SUCO SUFRESH UVA 1L</t>
  </si>
  <si>
    <t xml:space="preserve">GIN LARIOS ORIGINAL BOTANICO 700ML</t>
  </si>
  <si>
    <t xml:space="preserve">WHISKY MACALLAN DOUBLE CASK 12Y 700ML</t>
  </si>
  <si>
    <t xml:space="preserve">AGUA TONICA FYS 350ML</t>
  </si>
  <si>
    <t xml:space="preserve">AGUA TONICA FYS ZERO 350ML</t>
  </si>
  <si>
    <t xml:space="preserve">CERVEJA AMSTEL LONG 355ML</t>
  </si>
  <si>
    <t xml:space="preserve">CERVEJA ESTRELA GALICIA 600ML</t>
  </si>
  <si>
    <t xml:space="preserve">WHISKY THE CHITA 700ML</t>
  </si>
  <si>
    <t xml:space="preserve">WHISKY HIBIKI 700ML</t>
  </si>
  <si>
    <t xml:space="preserve">AGUA CRYSTAL S/ GÁS 500ML</t>
  </si>
  <si>
    <t xml:space="preserve">FAST GELO 5KG</t>
  </si>
  <si>
    <t xml:space="preserve">CERVEJA HEINEKEN LATA ZERO 350ML</t>
  </si>
  <si>
    <t xml:space="preserve">WHISKY JOHNNIE WALKER BLUE LABEL 750ML</t>
  </si>
  <si>
    <t xml:space="preserve">VERMOUTH MARTINI BIANCO 750ML</t>
  </si>
  <si>
    <t xml:space="preserve">REFRIGERANTE FANTA UVA LATA 350ML</t>
  </si>
  <si>
    <t xml:space="preserve">ENERGETICO MONSTER ABSOLUTELY ZERO 473ML</t>
  </si>
  <si>
    <t xml:space="preserve">ENERGETICO MONSTER WATERMELON 473ML</t>
  </si>
  <si>
    <t xml:space="preserve">BITTER ANGOSTURAS 200ML</t>
  </si>
  <si>
    <t xml:space="preserve">TEQUILA CLASE AZUL 750ML</t>
  </si>
  <si>
    <t xml:space="preserve">AGUA TONICA FYS LIMÃO SICILIANO LATA 350ML</t>
  </si>
  <si>
    <t xml:space="preserve">WHISKY JOHNNIE WALKER BLONDE 700ML</t>
  </si>
  <si>
    <t xml:space="preserve">WHISKY JOHNNIE WALKER GOLD ICONS 750ML</t>
  </si>
  <si>
    <t xml:space="preserve">WHISKY MACALLAN SHERRY OAK 12Y 700ML</t>
  </si>
  <si>
    <t xml:space="preserve">REFRIGERANTE ST PIERRE BLUEBERRY LATA 270ML</t>
  </si>
  <si>
    <t xml:space="preserve">REFRIGERANTE ST PIERRE PINK LEMONADE LONG 275ML</t>
  </si>
  <si>
    <t xml:space="preserve">REFRIGERANTE ST PIERRE RED MINT LONG 275ML</t>
  </si>
  <si>
    <t xml:space="preserve">REFRIGERANTE ST PIERRE BLUEBERRY LONG 275ML</t>
  </si>
  <si>
    <t xml:space="preserve">AGUA TONICA ST PIERRE LONG 275ML</t>
  </si>
  <si>
    <t xml:space="preserve">AGUA TONICA ST PIERRE ZERO LONG 275ML</t>
  </si>
  <si>
    <t xml:space="preserve">REFRIGERANTE ST PIERRE GINGER LONG 275ML</t>
  </si>
  <si>
    <t xml:space="preserve">RTD EASY BOOZE BLUEBERRY LATA 269ML</t>
  </si>
  <si>
    <t xml:space="preserve">REFRIGERANTE GUARANA PET 200ML</t>
  </si>
  <si>
    <t xml:space="preserve">ISOTONICO GATORADE MORANGO E MELANCIA 500ML</t>
  </si>
  <si>
    <t xml:space="preserve">VODKA ABSOLUT VANILIA 750ML</t>
  </si>
  <si>
    <t xml:space="preserve">TEQUILA DON JULIO 750ML</t>
  </si>
  <si>
    <t xml:space="preserve">WHISKY BULLEIT BOURBON 750ML</t>
  </si>
  <si>
    <t xml:space="preserve">GIN MONKEY 47 500ML</t>
  </si>
  <si>
    <t xml:space="preserve">LICOR FRANGELICO 700ML</t>
  </si>
  <si>
    <t xml:space="preserve">VERMUTE CIRCOLLO ROSSO 750ML</t>
  </si>
  <si>
    <t xml:space="preserve">COQUETEL MOSCOW MULE APTK 750ML</t>
  </si>
  <si>
    <t xml:space="preserve">COQUETEL NEGRONI APTK 750ML</t>
  </si>
  <si>
    <t xml:space="preserve">TEQUILA 1800 750ML</t>
  </si>
  <si>
    <t xml:space="preserve">GIN TANQUERAY RANGPUR LIME 700ML</t>
  </si>
  <si>
    <t xml:space="preserve">CHAMPAGNE MOET IMPERIAL BRUT 750ML</t>
  </si>
  <si>
    <t xml:space="preserve">ESPUMANTE CHANDON BRUT 375ML</t>
  </si>
  <si>
    <t xml:space="preserve">ESPUMANTE BABY CHANDON BRUT 187ML</t>
  </si>
  <si>
    <t xml:space="preserve">ESPUMANTE BABY CHANDON BRUT ROSE 187ML</t>
  </si>
  <si>
    <t xml:space="preserve">CHAMPAGNE DOM PERIGNON VINTAGE ROSE 750 ML</t>
  </si>
  <si>
    <t xml:space="preserve">CHAMPAGNE DOM PERIGNON VINTAGE LUMINOUS 750ML</t>
  </si>
  <si>
    <t xml:space="preserve">RTD XEQUE MATE 355ML</t>
  </si>
  <si>
    <t xml:space="preserve">GIN THEROS 1L</t>
  </si>
  <si>
    <t xml:space="preserve">VODKA ABSOLUT CITRON 750ML</t>
  </si>
  <si>
    <t xml:space="preserve">APERITIVO RAMAZZOTI ROSATO 700ML</t>
  </si>
  <si>
    <t xml:space="preserve">GUARAVITON GINSENG 500ML</t>
  </si>
  <si>
    <t xml:space="preserve">LICOR STOCK CURAÇAU BLUE 720ML</t>
  </si>
  <si>
    <t xml:space="preserve">ISOTONICO GATORADE BLUE BERRY 500ML</t>
  </si>
  <si>
    <t xml:space="preserve">ISOTONICO POWERADE MOUNTAIN BLAST 500ML</t>
  </si>
  <si>
    <t xml:space="preserve">LICOR STOCK PEACH 720ML</t>
  </si>
  <si>
    <t xml:space="preserve">AGUA LINDOYA PREMIUM 510ML</t>
  </si>
  <si>
    <t xml:space="preserve">VERMOUTH MARTINI ROSATO 750ML</t>
  </si>
  <si>
    <t xml:space="preserve">AGUA DE COCO QUADRADO LATA 269ML</t>
  </si>
  <si>
    <t xml:space="preserve">VINHO LATITUD 33 MALBEC 750ML</t>
  </si>
  <si>
    <t xml:space="preserve">VINHO LATITUD 33 SAUVIGNON BLANC 750ML</t>
  </si>
  <si>
    <t xml:space="preserve">LICOR MACADOMO 750ML</t>
  </si>
  <si>
    <t xml:space="preserve">CHICLETE MENTOS PURE FRESH 8,5G</t>
  </si>
  <si>
    <t xml:space="preserve">ISOTONICO POWERADE LIMÃO 500ML</t>
  </si>
  <si>
    <t xml:space="preserve">ISOTONICO POWERADE FRUTAS TROPICAIS 500ML</t>
  </si>
  <si>
    <t xml:space="preserve">ISOTONICO POWERADE TANGERINA 500ML</t>
  </si>
  <si>
    <t xml:space="preserve">ISOTONICO GATORADE LARANJA 500ML</t>
  </si>
  <si>
    <t xml:space="preserve">TEQUILA DON JULIO 1942 750ML</t>
  </si>
  <si>
    <t xml:space="preserve">ESPUMANTE FREIXENET CORDON NEGRO BRUT 750 ML</t>
  </si>
  <si>
    <t xml:space="preserve">CACHAÇA CANELAZINHA PET 750ML</t>
  </si>
  <si>
    <t xml:space="preserve">CACHAÇA CANELAZINHA GARRAFA 900ML</t>
  </si>
  <si>
    <t xml:space="preserve">CACHAÇA BANANAZINHA PET 750ML</t>
  </si>
  <si>
    <t xml:space="preserve">RUM MONTILLA OURO 1L</t>
  </si>
  <si>
    <t xml:space="preserve">RUM MONTILLA CRISTAL 1L</t>
  </si>
  <si>
    <t xml:space="preserve">RUM MONTILLA BRANCA 1L</t>
  </si>
  <si>
    <t xml:space="preserve">LICOR LIMONCELLO VILLA MASSA 700ML</t>
  </si>
  <si>
    <t xml:space="preserve">RTD SCHWEPPES SPRITZ 269ML</t>
  </si>
  <si>
    <t xml:space="preserve">RTD SCHWEPPES VODKA &amp; CITRUS 269ML</t>
  </si>
  <si>
    <t xml:space="preserve">RTD JACK HONEY LEMONADE 330ML</t>
  </si>
  <si>
    <t xml:space="preserve">RTD JACK E COKE 350ML</t>
  </si>
  <si>
    <t xml:space="preserve">VINHO CONCHA Y TORO RESERVADO MALBEC 750ML</t>
  </si>
  <si>
    <t xml:space="preserve">VINHO CONCHA Y TORO RESERVADO MERLOT 750ML</t>
  </si>
  <si>
    <t xml:space="preserve">COQUETEL COSMOPOLITAN 750ML</t>
  </si>
  <si>
    <t xml:space="preserve">COQUETEL FITZGERALD 750ML</t>
  </si>
  <si>
    <t xml:space="preserve">COQUETEL LIMONCELLO APTK 750ML</t>
  </si>
  <si>
    <t xml:space="preserve">WHISKY DEWARS 15 ANOS THE MONARCH 750 ML</t>
  </si>
  <si>
    <t xml:space="preserve">CERVEJA CORONA ZERO LONG 330ML</t>
  </si>
  <si>
    <t xml:space="preserve">VINHO VERONI BIANCO 750ML</t>
  </si>
  <si>
    <t xml:space="preserve">VINHO VERONI ROSE 750ML</t>
  </si>
  <si>
    <t xml:space="preserve">VINHO VERONI SAUVI 750ML</t>
  </si>
  <si>
    <t xml:space="preserve">VINHO VERONI SAUVI 375ML</t>
  </si>
  <si>
    <t xml:space="preserve">VINHO VERONI ROSE 375ML</t>
  </si>
  <si>
    <t xml:space="preserve">CERVEJA CORONA LATA 269ML</t>
  </si>
  <si>
    <t xml:space="preserve">WHISKY BUFFALO TRACE 750ML</t>
  </si>
  <si>
    <t xml:space="preserve">APERITIVO LILLET ROSE 750ML</t>
  </si>
  <si>
    <t xml:space="preserve">LICOR AMARULA CHOCOLATE 750ML</t>
  </si>
  <si>
    <t xml:space="preserve">WHISKY CHIVAS REGAL 18 ANOS 750ML</t>
  </si>
  <si>
    <t xml:space="preserve">CERVEJA HEINEKEN LONG SHOT 250ML</t>
  </si>
  <si>
    <t xml:space="preserve">AGUA DANE-SE S/GAS 350ML</t>
  </si>
  <si>
    <t xml:space="preserve">AGUA DANE-SE C/GAS 350ML</t>
  </si>
  <si>
    <t xml:space="preserve">LICOR AMARULA RASPBERRY 750ML</t>
  </si>
  <si>
    <t xml:space="preserve">SAQUE AZUMA KIRIN SOFT 740ML</t>
  </si>
  <si>
    <t xml:space="preserve">VERMOUTH CARPANO ROSSO CLASSICO 950ML</t>
  </si>
  <si>
    <t xml:space="preserve">VERMOUTH CARPANO PUNT E MES 750ML</t>
  </si>
  <si>
    <t xml:space="preserve">LICOR COINTREAU 700 ML</t>
  </si>
  <si>
    <t xml:space="preserve">ESPUMA DE GENGIBRE BEGIN 200G</t>
  </si>
  <si>
    <t xml:space="preserve">TEQUILA EL JIMADOR BLANCO 750 ML</t>
  </si>
  <si>
    <t xml:space="preserve">CERVEJA CERPA EXPORT 350ML</t>
  </si>
  <si>
    <t xml:space="preserve">WHISKY JOHNNIE WALKER DOUBLE BLACK 1L</t>
  </si>
  <si>
    <t xml:space="preserve">CONHAQUE DREHER 900ML</t>
  </si>
  <si>
    <t xml:space="preserve">RUM BACARDI RESERVA 8 ANOS 750ML</t>
  </si>
  <si>
    <t xml:space="preserve">CACHAÇA JOS COM JAMBU 750ML</t>
  </si>
  <si>
    <t xml:space="preserve">WHISKY CHIVAS REGAL 13 ANOS 750ML</t>
  </si>
  <si>
    <t xml:space="preserve">CACHAÇA SELETA PRATA 1L</t>
  </si>
  <si>
    <t xml:space="preserve">CACHAÇA SELETA PRATA 600ML</t>
  </si>
  <si>
    <t xml:space="preserve">APERITIVO BUSCA VIDA 670ML</t>
  </si>
  <si>
    <t xml:space="preserve">CACHAÇA BOAZINHA 600ML</t>
  </si>
  <si>
    <t xml:space="preserve">TEQUILA EL JIMADOR REPOSADO 750 ML</t>
  </si>
  <si>
    <t xml:space="preserve">VINHO CASILLERO DEL DIABLO CARMENERE 750ML</t>
  </si>
  <si>
    <t xml:space="preserve">CONHAQUE FUNDADOR 750ML</t>
  </si>
  <si>
    <t xml:space="preserve">CACHAÇA WEBER HAUS AMBURANA 700 ML</t>
  </si>
  <si>
    <t xml:space="preserve">CACHAÇA 1922 ENVELHECIDA 3 MADEIRAS 700ML</t>
  </si>
  <si>
    <t xml:space="preserve">CONHAQUE BRANDY DE JEREZ OSBORNE 700ML</t>
  </si>
  <si>
    <t xml:space="preserve">WHISKY MAKER'S MARK BOURBON 750 ML</t>
  </si>
  <si>
    <t xml:space="preserve">CACHAÇA SALINÍSSIMA PRATA 670ML</t>
  </si>
  <si>
    <t xml:space="preserve">ESPUMANTE SALTON LUNAE ROSÉ 750ML</t>
  </si>
  <si>
    <t xml:space="preserve">LICOR MARIE BRIZARD TRIPLE SEC 700ML</t>
  </si>
  <si>
    <t xml:space="preserve">LICOR AMARETTO DELL' ORSO 700ML</t>
  </si>
  <si>
    <t xml:space="preserve">ESPUMANTE DEL GRANO MOSCATEL 660ML</t>
  </si>
  <si>
    <t xml:space="preserve">REFRIGERANTE SPRITE ZERO LATA 350ML</t>
  </si>
  <si>
    <t xml:space="preserve">RTD SCHWEPPES GIN TONICA PINK 269ML</t>
  </si>
  <si>
    <t xml:space="preserve">RTD SCHWEPPES GIN TONICA LATA 269ML</t>
  </si>
  <si>
    <t xml:space="preserve">WHISKY JOHNNIE WALKER BLACK LABEL ICONS 1L</t>
  </si>
  <si>
    <t xml:space="preserve">LICOR BALLENA CHOCOLATE E CARAMELO 750ML</t>
  </si>
  <si>
    <t xml:space="preserve">RTD SCHWEPPES GIN TONICA PINK LATA 310ML</t>
  </si>
  <si>
    <t xml:space="preserve">WHISKY JOHNNIE WALKER BLONDE 750ML</t>
  </si>
  <si>
    <t xml:space="preserve">GIN TANQUERAY MINIATURA 50 ML</t>
  </si>
  <si>
    <t xml:space="preserve">GIN TANQUERAY SEVILLA MINIATURA 50ML</t>
  </si>
  <si>
    <t xml:space="preserve">GIN TANQUERAY RANGPUR MINIATURA 50 ML</t>
  </si>
  <si>
    <t xml:space="preserve">VODKA KETEL ONE MINIATURA 50ML</t>
  </si>
  <si>
    <t xml:space="preserve">REFRIGERANTE SPRITE GARRAFA 2L</t>
  </si>
  <si>
    <t xml:space="preserve">ENERGETICO RED BULL WINTER LATA 250ML</t>
  </si>
  <si>
    <t xml:space="preserve">CHÁ MATTE LEÃO PESSEGO PET 1,5L</t>
  </si>
  <si>
    <t xml:space="preserve">CHÁ MATTE LEÃO LIMÃO PET 1,5L</t>
  </si>
  <si>
    <t xml:space="preserve">VODKA HYPE 1L</t>
  </si>
  <si>
    <t xml:space="preserve">GIN HYPE 750ML</t>
  </si>
  <si>
    <t xml:space="preserve">COQUETEL NEGRONI BEG 750ML</t>
  </si>
  <si>
    <t xml:space="preserve">GIN BEG MODERN &amp; TROPICAL 750ML *ROXO*</t>
  </si>
  <si>
    <t xml:space="preserve">GIN BEG NEW WORLD NAVY 750ML *LETRA AZUL*</t>
  </si>
  <si>
    <t xml:space="preserve">GIN BEG 750ML BRAZILIAN BOUTIQUE *LETRA PRETA*</t>
  </si>
  <si>
    <t xml:space="preserve">COQUETEL NEGRONI BEG 500ML REFIL DE ALUMINIO</t>
  </si>
  <si>
    <t xml:space="preserve">GIN BEG 500ML REFIL DE ALUMINIO</t>
  </si>
  <si>
    <t xml:space="preserve">GIN BEG MODERN &amp; TROPICAL 500ML REFIL DE ALUMINIO</t>
  </si>
  <si>
    <t xml:space="preserve">WHISKY JOHNNIE WALKER BLONDE MINIATURA 50ML</t>
  </si>
  <si>
    <t xml:space="preserve">REFRIGERANTE SPRITE FRESH LIMAO 510ML</t>
  </si>
  <si>
    <t xml:space="preserve">GIN SINGLE FIN 700ML</t>
  </si>
  <si>
    <t xml:space="preserve">GIN BIARRITZ GIN LIMÃO SICILIANO E CAPIM SANTO 275ML</t>
  </si>
  <si>
    <t xml:space="preserve">GIN BIARRITZ HIBISCO 275ML</t>
  </si>
  <si>
    <t xml:space="preserve">GIN BIARRITZ MARACUJA E TANGERINA 275ML</t>
  </si>
  <si>
    <t xml:space="preserve">AGUA LINDOYA PREMIUM C/GAS 1,5L</t>
  </si>
  <si>
    <t xml:space="preserve">CHAMPAGNE PERRIER JOUËT GRAN BRUT 750ML</t>
  </si>
  <si>
    <t xml:space="preserve">REFRIGERANTE COCA COLA LATA 220ML</t>
  </si>
  <si>
    <t xml:space="preserve">REFRIGERANTE COCA COLA ZERO LATA 220ML</t>
  </si>
  <si>
    <t xml:space="preserve">REFRIGERANTE FANTA GUARANA 220ML</t>
  </si>
  <si>
    <t xml:space="preserve">ESPUMANTE CHANDON GARDEN SPRITZ 750ML</t>
  </si>
  <si>
    <t xml:space="preserve">BITTER NIB 150ML</t>
  </si>
  <si>
    <t xml:space="preserve">ENERGETICO BALY TRADICIONAL GARRAFA 2L</t>
  </si>
  <si>
    <t xml:space="preserve">SUCO DE MORANGO NUTRI 1L</t>
  </si>
  <si>
    <t xml:space="preserve">CACHAÇA JOSELITA JAMBU E GENGIBRE 750ML</t>
  </si>
  <si>
    <t xml:space="preserve">VERMOUTH ARG CINZANO ROSSO 1L</t>
  </si>
  <si>
    <t xml:space="preserve">AGUA DE COCO COPRA 1L</t>
  </si>
  <si>
    <t xml:space="preserve">ESPUMANTE SALTON LUNAE BRANCO 750ML</t>
  </si>
  <si>
    <t xml:space="preserve">CERVEJA PETRA PURO MALTE 350ML</t>
  </si>
  <si>
    <t xml:space="preserve">CERVEJA BLACK PRINCESS 350ML</t>
  </si>
  <si>
    <t xml:space="preserve">VODKA GREY GOOSE ESSENCES WATERMELON &amp; BASIL 750ML</t>
  </si>
  <si>
    <t xml:space="preserve">ENERGETICO RED BULL MELÃO LATA 250ML</t>
  </si>
  <si>
    <t xml:space="preserve">CERVEJA SPATEN 600ML</t>
  </si>
  <si>
    <t xml:space="preserve">CERVEJA CORONITA LONG 210ML</t>
  </si>
  <si>
    <t xml:space="preserve">CHAMPAGNE MOET IMPERIAL ROSE 750ML</t>
  </si>
  <si>
    <t xml:space="preserve">ESPUMANTE SALTON MOSCATEL 750ML</t>
  </si>
  <si>
    <t xml:space="preserve">WHISKY OLD PARR 18 ANOS 1L</t>
  </si>
  <si>
    <t xml:space="preserve">CERVEJA EISENBAHN WEIZENBIER 355ML</t>
  </si>
  <si>
    <t xml:space="preserve">REFRIGERANTE PEPSI BLACK GARRAFA 2L</t>
  </si>
  <si>
    <t xml:space="preserve">RUM BACARDI PRATA 700ML</t>
  </si>
  <si>
    <t xml:space="preserve">CERVEJA BUDWEISER ZERO LONG 330ML</t>
  </si>
  <si>
    <t xml:space="preserve">WHISKY MACALLAN DOUBLE CASK 15 ANOS 700ML</t>
  </si>
  <si>
    <t xml:space="preserve">WHISKY MACALLAN DOUBLE CASK 18 ANOS 700ML</t>
  </si>
  <si>
    <t xml:space="preserve">WHISKY MACALLAN SHERRY OAK CASK 18 ANOS 700ML</t>
  </si>
  <si>
    <t xml:space="preserve">ENERGETICO MONSTER ULTRA LATA 473ML</t>
  </si>
  <si>
    <t xml:space="preserve">CACHAÇA SÃO FRANCISCO 970ML</t>
  </si>
  <si>
    <t xml:space="preserve">WHISKY JACK DANIEL'S APPLE GARRAFA 700ML</t>
  </si>
  <si>
    <t xml:space="preserve">WHISKY JACK DANIEL'S FIRE GARRAFA 700ML</t>
  </si>
  <si>
    <t xml:space="preserve">CERVEJA THEREZOPOLIS GOLD 600ML</t>
  </si>
  <si>
    <t xml:space="preserve">WHISKY JACK DANIEL'S OLD N°07 GARRAFA 700ML</t>
  </si>
  <si>
    <t xml:space="preserve">WHISKY JACK DANIEL'S HONEY GARRAFA 700ML</t>
  </si>
  <si>
    <t xml:space="preserve">REFRIGERANTE COCA COLA ZERO GARRAFA 1,5L</t>
  </si>
  <si>
    <t xml:space="preserve">BITTER ANGOSTURAS 200ML OFF TRADE</t>
  </si>
  <si>
    <t xml:space="preserve">CERVEJA EISENBAHN IPA LONG 355ML</t>
  </si>
  <si>
    <t xml:space="preserve">LICOR BALLENA COCO 750ML</t>
  </si>
  <si>
    <t xml:space="preserve">ENERGETICO MONSTER PIPELINE PUNCH LATA 473ML</t>
  </si>
  <si>
    <t xml:space="preserve">CHAMPAGNE VEUVE CLICQUOT ROSE 750ML</t>
  </si>
  <si>
    <t xml:space="preserve">RTD XEQUE MATE EDIÇÃO ESPECIAL 362ML</t>
  </si>
  <si>
    <t xml:space="preserve">ESPUMANTE CASA PERINI BRUT ROSE 750ML</t>
  </si>
  <si>
    <t xml:space="preserve">VINHO SANTA CAROLINA RESERVADO ROSE 750ML</t>
  </si>
  <si>
    <t xml:space="preserve">CACHAÇA SELETA OURO 1L</t>
  </si>
  <si>
    <t xml:space="preserve">CHAMPAGNE MOET IMPERIAL BRUT C/CARTUCHO 750ML</t>
  </si>
  <si>
    <t xml:space="preserve">CHAMPAGNE MOET IMPERIAL ROSE C/CARTUCHO 750ML</t>
  </si>
  <si>
    <t xml:space="preserve">CHAMPAGNE VEUVE CLICQUOT BRUT C/CARTUCHO 750ML</t>
  </si>
  <si>
    <t xml:space="preserve">CHAMPAGNE VEUVE CLICQUOT ROSE C/CARTUCHO 750ML</t>
  </si>
  <si>
    <t xml:space="preserve">CHAMPAGNE DOM PERIGNON VINTAGE C/CARTUCHO 750ML</t>
  </si>
  <si>
    <t xml:space="preserve">CHAMPAGNE DOM PERIGNON VINTAGE ROSE C/CARTUCHO 750 ML</t>
  </si>
  <si>
    <t xml:space="preserve">REFRIGERANTE COCA COLA GARRAFA 1,5L</t>
  </si>
  <si>
    <t xml:space="preserve">WHISKY JACK DANIEL'S SINATRA 1L</t>
  </si>
  <si>
    <t xml:space="preserve">VODKA CIROC 3L</t>
  </si>
  <si>
    <t xml:space="preserve">VINHO CASILLERO DEL DIABLO RED BLEND 750ML</t>
  </si>
  <si>
    <t xml:space="preserve">VINHO CASILLERO DEL DIABLO MALBEC 750ML</t>
  </si>
  <si>
    <t xml:space="preserve">VINHO CASILLERO DEL DIABLO ROSE 750ML</t>
  </si>
  <si>
    <t xml:space="preserve">VINHO SANTA HELENA MERLOT 750ML</t>
  </si>
  <si>
    <t xml:space="preserve">VINHO SANTA HELENA CARMENERE 750ML</t>
  </si>
  <si>
    <t xml:space="preserve">VINHO SANTA HELENA CABERNET SAUVIGNON 750ML</t>
  </si>
  <si>
    <t xml:space="preserve">CERVEJA THEREZOPOLIS GOLD 355ML</t>
  </si>
  <si>
    <t xml:space="preserve">CERVEJA ESTRELA GALICIA 355ML</t>
  </si>
  <si>
    <t xml:space="preserve">XAROPE KALY CRANBERRY 700ML</t>
  </si>
  <si>
    <t xml:space="preserve">RTD SCHWEPPES GINGER ALE 220ML</t>
  </si>
  <si>
    <t xml:space="preserve">REFRESCO LEÃO GUARANA E AÇAI COPO 300ML</t>
  </si>
  <si>
    <t xml:space="preserve">CERVEJA SOL 0,0 LONG 330ML</t>
  </si>
  <si>
    <t xml:space="preserve">LICOR D BELEM 700ML</t>
  </si>
  <si>
    <t xml:space="preserve">VERMOUTH CINZANO BRANCO 1L</t>
  </si>
  <si>
    <t xml:space="preserve">VINHO CASILLERO DEL DIABLO PHENOMENAL SAUVIGNON 750ML</t>
  </si>
  <si>
    <t xml:space="preserve">CERVEJA CORONA LATA 350ML</t>
  </si>
  <si>
    <t xml:space="preserve">VINHO SOTTANO JUNIOR MALBEC 750ML</t>
  </si>
  <si>
    <t xml:space="preserve">CHAMPAGNE RUINART BLANC DE BLANCS 750ML</t>
  </si>
  <si>
    <t xml:space="preserve">VINHO CASILLERO DEL DIABLO CABERNET SAUVIGNON 375ML</t>
  </si>
  <si>
    <t xml:space="preserve">LICOR STOCK CURAÇAU CACAU 720ML</t>
  </si>
  <si>
    <t xml:space="preserve">GIN MARE 700ML</t>
  </si>
  <si>
    <t xml:space="preserve">CERVEJA STELLA ARTOIS PURE GOLD LATA 350ML</t>
  </si>
  <si>
    <t xml:space="preserve">CERVEJA EISENBAHN UNFILTERED LONG 355ML</t>
  </si>
  <si>
    <t xml:space="preserve">CHAMPAGNE DOM PERIGNON PLENITUDE 2 C/CARTUCHO 750ML</t>
  </si>
  <si>
    <t xml:space="preserve">ENERGETICO RED BULL AMORA SUGAR FREE 250ML</t>
  </si>
  <si>
    <t xml:space="preserve">TEQUILA PATRON SILVER 750ML </t>
  </si>
  <si>
    <t xml:space="preserve">AGUA DE COCO LYNV 330</t>
  </si>
  <si>
    <t xml:space="preserve">LICOR GOLY DE MELANCIA E HORTELÃ 750ML</t>
  </si>
  <si>
    <t xml:space="preserve">LICOR GOLY DE WHISKY COM CANELA 750MKL</t>
  </si>
  <si>
    <t xml:space="preserve">ENERGETICO MONSTER ULTRA FIESTA MANGO LATA 473ML - REF.:7806</t>
  </si>
  <si>
    <t xml:space="preserve">ENERGETICO BALY MAÇA VERDE GARRAFA 2L</t>
  </si>
  <si>
    <t xml:space="preserve">ENERGETICO RED BULL POMELO SUGAR FREE 250ML</t>
  </si>
  <si>
    <t xml:space="preserve">WHISKY JIM BEAM BLACK 1L</t>
  </si>
  <si>
    <t xml:space="preserve">MONSTER ENERGY ULTRA PEACHY KEEN</t>
  </si>
  <si>
    <t xml:space="preserve">VINHO SANTA HELENA MALBEC 750ML</t>
  </si>
  <si>
    <t xml:space="preserve">VINHO SANTA HELENA SAUVIGNON BLANC 750ML</t>
  </si>
  <si>
    <t xml:space="preserve">VINHO PERGOLA 1L</t>
  </si>
  <si>
    <t xml:space="preserve">VINHO CASAL GARCIA SWEET BRANCO 750ML</t>
  </si>
  <si>
    <t xml:space="preserve">GELO DE SABOR MORANGO FAST GELO</t>
  </si>
  <si>
    <t xml:space="preserve">GELO DE SABOR MAÇÃ VERDE FAST GELO</t>
  </si>
  <si>
    <t xml:space="preserve">GELO DE SABOR COCO VERDE FAST GELO</t>
  </si>
  <si>
    <t xml:space="preserve">GELO DE SABOR MELANCIA FAST GELO</t>
  </si>
  <si>
    <t xml:space="preserve">GELO DE SABOR MARACULÁ FAST GELO</t>
  </si>
  <si>
    <t xml:space="preserve">ÁGUA SABORIZADA H2OH LIMÃO 500ML</t>
  </si>
  <si>
    <t xml:space="preserve">CERVEJA COLORADO APPIA GARRAFA LATA 350ML  </t>
  </si>
  <si>
    <t xml:space="preserve">CERVEJA PATAGONIA IPA LATA 350ML</t>
  </si>
  <si>
    <t xml:space="preserve">BEATS RED MIX LONG</t>
  </si>
  <si>
    <t xml:space="preserve">BEATS GT LONG</t>
  </si>
  <si>
    <t xml:space="preserve">CERVEJA HEINEKEN BARRIL 5L</t>
  </si>
  <si>
    <t xml:space="preserve">Beats Tropical Lata 269ml</t>
  </si>
  <si>
    <t xml:space="preserve">Beats Caipirinha Lata 269ml</t>
  </si>
  <si>
    <t xml:space="preserve">Beats Tropical Long Neck 269ml</t>
  </si>
  <si>
    <t xml:space="preserve">Brahma Duplo Malte 269ml</t>
  </si>
  <si>
    <t xml:space="preserve">Cerveja Spaten 269ml</t>
  </si>
  <si>
    <t xml:space="preserve">Coca-cola Original 310ml</t>
  </si>
  <si>
    <t xml:space="preserve">Refrigerante Sem Açúcar Coca Cola 200ml</t>
  </si>
  <si>
    <t xml:space="preserve">Refrigerante Coca Cola 250ml</t>
  </si>
  <si>
    <t xml:space="preserve">Refrigerante Coca-cola Zero Açucar Lata 310ml</t>
  </si>
  <si>
    <t xml:space="preserve">Refrigerante Zero Coca Cola 250ml</t>
  </si>
  <si>
    <t xml:space="preserve">Vinho Argentino Chac Chac Malbec 750ml</t>
  </si>
  <si>
    <t xml:space="preserve">Vinho Argentino Chac Chac Sauvignon Blanc 750ml</t>
  </si>
  <si>
    <t xml:space="preserve">MONSTER ENERGY  LATA ZERO  SUGAR </t>
  </si>
  <si>
    <t xml:space="preserve">AMENDOIM JAPONES ELMA CHIPS 145G</t>
  </si>
  <si>
    <t xml:space="preserve">SALGADINHO FANDANGOS DE PRESUNTO ELMA CHIPS  105G</t>
  </si>
  <si>
    <t xml:space="preserve">SALGADINHO FANDANGOS DE QUEIJO ELMA CHIPS 105G</t>
  </si>
  <si>
    <t xml:space="preserve">Cerveja Patagonia Weisse 350ml Lata</t>
  </si>
  <si>
    <t xml:space="preserve">51 Ice Baladas Ln 275 Ml</t>
  </si>
  <si>
    <t xml:space="preserve">Askov 900ml</t>
  </si>
  <si>
    <t xml:space="preserve">Bebida 51 Ice Neck Limão 275ml</t>
  </si>
  <si>
    <t xml:space="preserve">Bebida Mista Fruit Mix 51 Ice 275ml</t>
  </si>
  <si>
    <t xml:space="preserve">Budweiser Zero 330ml</t>
  </si>
  <si>
    <t xml:space="preserve">Cerveja Mex Cero Sunbrew Corona 350Ml lata ZERO</t>
  </si>
  <si>
    <t xml:space="preserve">Guaraná Antárctica 200ml</t>
  </si>
  <si>
    <t xml:space="preserve">Refrigerante Coca Cola 200ml</t>
  </si>
  <si>
    <t xml:space="preserve">Vinho Branco Concha Y Toro Chardonnay Reservado Pedro Jimenez 750ml</t>
  </si>
  <si>
    <t xml:space="preserve">Vinho Tinto Argentino Cabernet Sauvignon Novecento 750ml</t>
  </si>
  <si>
    <t xml:space="preserve">Vinho Tinto Argentino Malbec Novecento 750ml</t>
  </si>
  <si>
    <t xml:space="preserve">Vinho Tinto Português Alecrim Garrafa 750ml</t>
  </si>
  <si>
    <t xml:space="preserve">Mansão Maromba Combo Gin+melancia</t>
  </si>
  <si>
    <t xml:space="preserve">Mansão Maromba Gin Combo Tigrinho Tropical</t>
  </si>
  <si>
    <t xml:space="preserve">Mansão Maromba Whisky + Combo Maçã Verde 1l</t>
  </si>
  <si>
    <t xml:space="preserve">Mansão Maromba Vodka Combo</t>
  </si>
  <si>
    <t xml:space="preserve">Mansão Maromba Whisky + Combo 1l</t>
  </si>
  <si>
    <t xml:space="preserve">Mansão Maromba Whisky Combo Do Job</t>
  </si>
  <si>
    <t xml:space="preserve">Mascate Caju E Agua De Coco</t>
  </si>
  <si>
    <t xml:space="preserve">Mascate Drink Melancia E Framboesa</t>
  </si>
  <si>
    <t xml:space="preserve">Chopp Vinho Draft 600ml</t>
  </si>
  <si>
    <t xml:space="preserve">Beats Green Mix Lata 269ml</t>
  </si>
  <si>
    <t xml:space="preserve">Bebida Mista Alcoólica Sabor Maçã Verde Skol Beats Green Mix 269ml Long Neck</t>
  </si>
  <si>
    <t xml:space="preserve">Suco Del Valle Frut Laranja 1,5l</t>
  </si>
  <si>
    <t xml:space="preserve">Espumante Cava Freixenet Carta Nevada 750 Ml</t>
  </si>
  <si>
    <t xml:space="preserve">Refrigerante Guaraná Antarctica Zero 200ml</t>
  </si>
  <si>
    <t xml:space="preserve">CERVEJA STELLA ARTOIS LATA 350ML</t>
  </si>
  <si>
    <t xml:space="preserve">Vinho Tinto Santome Suave Garrafa 1 Litro</t>
  </si>
  <si>
    <t xml:space="preserve">Bebida Mista Uva Del Valle Frut 1,5l</t>
  </si>
  <si>
    <t xml:space="preserve">Suco Del Valle Frutas Cítricas 1,5l</t>
  </si>
  <si>
    <t xml:space="preserve">Suco Limao Del Valle Frut 1,5l</t>
  </si>
  <si>
    <t xml:space="preserve">Água de Coco Kero Coco Caixa 1l</t>
  </si>
  <si>
    <t xml:space="preserve">Cerveja Michelob Sleek Ultra 350ml</t>
  </si>
  <si>
    <t xml:space="preserve">Cerveja Pilsen Itaipava 269ml</t>
  </si>
  <si>
    <t xml:space="preserve">Cerveja Pilsen Itaipava 350ml</t>
  </si>
  <si>
    <t xml:space="preserve">Cerveja Puro Malte Petra Origem Lata 269ml</t>
  </si>
  <si>
    <t xml:space="preserve">Cerveja Puro Malte Pure Gold Sem Glúten Stella Artois 269ml</t>
  </si>
  <si>
    <t xml:space="preserve">Eisenbahn Pilsen Puro Malte 350ml</t>
  </si>
  <si>
    <t xml:space="preserve">Figurinhas da Copa Do Mundo 2026 Panini 1 Envelope com 7 Figurinhas</t>
  </si>
  <si>
    <t xml:space="preserve">Kit Com 12 Figurinhas da Copa Do Mundo 2026 Panini Envelope com 7 Figurinhas</t>
  </si>
  <si>
    <t xml:space="preserve">Gelo Coco Leve Para Drink Morango 190ml</t>
  </si>
  <si>
    <t xml:space="preserve">Gelo Coco Leve Para Drink Sabor Água de Coco 190g</t>
  </si>
  <si>
    <t xml:space="preserve">Gelo Coco Leve Sabor Maracujá 190ml</t>
  </si>
  <si>
    <t xml:space="preserve">Gelo de Coco Leve com Limão e Gengibre Xeque Matte 190g</t>
  </si>
  <si>
    <t xml:space="preserve">RUM BACARDI BIG APPLE 980ML</t>
  </si>
  <si>
    <t xml:space="preserve">Vinho Tinto Chileno Casillero Del Diablo Dark Red Garrafa 750ml</t>
  </si>
  <si>
    <t xml:space="preserve">CERVEJA SPATEN LATA 350ML</t>
  </si>
  <si>
    <t xml:space="preserve">Gelo Sabor Maracujá Coco Leve 200ml</t>
  </si>
  <si>
    <t xml:space="preserve">Gelo de sabor coco</t>
  </si>
  <si>
    <t xml:space="preserve">CHAMPAGNE DOM PERIGNON VINTAGE 750ML</t>
  </si>
  <si>
    <t xml:space="preserve">Gin Mansão Maromba</t>
  </si>
  <si>
    <t xml:space="preserve">Mansão Maromba Whisky Combo</t>
  </si>
  <si>
    <t xml:space="preserve">Gelo Coco Leve Para Drink com Sabor Melância 190g</t>
  </si>
  <si>
    <t xml:space="preserve">Gin Eternity Melancia 900ml</t>
  </si>
  <si>
    <t xml:space="preserve">H2oh Limoneto 350ml</t>
  </si>
  <si>
    <t xml:space="preserve">Whisky Jack Daniels 1l Blackberry</t>
  </si>
  <si>
    <t xml:space="preserve">NOME DO ITEM (99)</t>
  </si>
  <si>
    <t xml:space="preserve">PRODUTO (CUSTOS)</t>
  </si>
  <si>
    <t xml:space="preserve">STATUS</t>
  </si>
  <si>
    <t xml:space="preserve">OBSERVAÇÃO</t>
  </si>
  <si>
    <t xml:space="preserve">LINHA EM CUSTOS</t>
  </si>
  <si>
    <t xml:space="preserve">APROXIMADO</t>
  </si>
  <si>
    <t xml:space="preserve">Pepsi Black é a versão zero açúcar</t>
  </si>
  <si>
    <t xml:space="preserve">OK</t>
  </si>
  <si>
    <t xml:space="preserve">CUSTOS não tem Limoneto 1,5L (só 500ml e 350ml)</t>
  </si>
  <si>
    <t xml:space="preserve">Item aparece 2x em CUSTOS</t>
  </si>
  <si>
    <t xml:space="preserve">Carta Blanca = Prata</t>
  </si>
  <si>
    <t xml:space="preserve">Alternativa: CERVEJA MICHELOB ULTRA 355ML</t>
  </si>
  <si>
    <t xml:space="preserve">Sabor não informado; assumido sabor tradicional (água de coco)</t>
  </si>
  <si>
    <t xml:space="preserve">CUSTOS não especifica se é Cabernet Franc</t>
  </si>
  <si>
    <t xml:space="preserve">CUSTOS não tem o blend Cabernet/Merlot; alternativa: VINHO SANTA HELENA MERLOT 750ML</t>
  </si>
  <si>
    <t xml:space="preserve">Confirmar se Fruit Mix = Morango e Laranja</t>
  </si>
  <si>
    <t xml:space="preserve">VERIFICAR</t>
  </si>
  <si>
    <t xml:space="preserve">Sabor não informado; opções: LICOR BALLENA MORANGO / COCO / CHOCOLATE E CARAMELO 750ML</t>
  </si>
  <si>
    <t xml:space="preserve">Tamanho diferente (900ml x 998ml)</t>
  </si>
  <si>
    <t xml:space="preserve">Prata = Blanco</t>
  </si>
  <si>
    <t xml:space="preserve">Alternativa: Guaraná Antárctica 200ml</t>
  </si>
  <si>
    <t xml:space="preserve">Confirmar se é o combo whisky + maçã verde</t>
  </si>
  <si>
    <t xml:space="preserve">Pure Gold = sem glúten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</si>
</sst>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  <cellStyle name="Normal 3" xfId="21"/>
    <cellStyle name="Normal 4" xfId="22"/>
    <cellStyle name="Normal 5" xfId="23"/>
    <cellStyle name="Normal 6" xfId="24"/>
    <cellStyle name="Normal 7" xfId="25"/>
  </cellStyles>
  <dxfs count="6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7</v>
      </c>
    </row>
    <row r="18" customFormat="false" ht="14.25" hidden="false" customHeight="false" outlineLevel="0" collapsed="false">
      <c r="A18" s="0" t="s">
        <v>16</v>
      </c>
    </row>
    <row r="19" customFormat="false" ht="14.25" hidden="false" customHeight="false" outlineLevel="0" collapsed="false">
      <c r="A19" s="0" t="s">
        <v>17</v>
      </c>
    </row>
    <row r="20" customFormat="false" ht="14.25" hidden="false" customHeight="false" outlineLevel="0" collapsed="false">
      <c r="A20" s="0" t="s">
        <v>18</v>
      </c>
    </row>
    <row r="21" customFormat="false" ht="14.25" hidden="false" customHeight="false" outlineLevel="0" collapsed="false">
      <c r="A21" s="0" t="s">
        <v>19</v>
      </c>
    </row>
    <row r="22" customFormat="false" ht="14.25" hidden="false" customHeight="false" outlineLevel="0" collapsed="false">
      <c r="A22" s="0" t="s">
        <v>20</v>
      </c>
    </row>
    <row r="23" customFormat="false" ht="14.25" hidden="false" customHeight="false" outlineLevel="0" collapsed="false">
      <c r="A23" s="0" t="s">
        <v>21</v>
      </c>
    </row>
    <row r="24" customFormat="false" ht="14.25" hidden="false" customHeight="false" outlineLevel="0" collapsed="false">
      <c r="A24" s="0" t="s">
        <v>22</v>
      </c>
    </row>
    <row r="25" customFormat="false" ht="14.25" hidden="false" customHeight="false" outlineLevel="0" collapsed="false">
      <c r="A25" s="0" t="s">
        <v>23</v>
      </c>
    </row>
    <row r="26" customFormat="false" ht="14.25" hidden="false" customHeight="false" outlineLevel="0" collapsed="false">
      <c r="A26" s="0" t="s">
        <v>3</v>
      </c>
    </row>
    <row r="27" customFormat="false" ht="14.25" hidden="false" customHeight="false" outlineLevel="0" collapsed="false">
      <c r="A27" s="0" t="s">
        <v>1</v>
      </c>
    </row>
    <row r="28" customFormat="false" ht="14.25" hidden="false" customHeight="false" outlineLevel="0" collapsed="false">
      <c r="A28" s="0" t="s">
        <v>24</v>
      </c>
    </row>
    <row r="29" customFormat="false" ht="14.25" hidden="false" customHeight="false" outlineLevel="0" collapsed="false">
      <c r="A29" s="0" t="s">
        <v>25</v>
      </c>
    </row>
    <row r="30" customFormat="false" ht="14.25" hidden="false" customHeight="false" outlineLevel="0" collapsed="false">
      <c r="A30" s="0" t="s">
        <v>26</v>
      </c>
    </row>
    <row r="31" customFormat="false" ht="14.25" hidden="false" customHeight="false" outlineLevel="0" collapsed="false">
      <c r="A31" s="0" t="s">
        <v>27</v>
      </c>
    </row>
    <row r="32" customFormat="false" ht="14.25" hidden="false" customHeight="false" outlineLevel="0" collapsed="false">
      <c r="A32" s="0" t="s">
        <v>3</v>
      </c>
    </row>
    <row r="33" customFormat="false" ht="14.25" hidden="false" customHeight="false" outlineLevel="0" collapsed="false">
      <c r="A33" s="0" t="s">
        <v>28</v>
      </c>
    </row>
    <row r="34" customFormat="false" ht="14.25" hidden="false" customHeight="false" outlineLevel="0" collapsed="false">
      <c r="A34" s="0" t="s">
        <v>29</v>
      </c>
    </row>
    <row r="35" customFormat="false" ht="14.25" hidden="false" customHeight="false" outlineLevel="0" collapsed="false">
      <c r="A35" s="0" t="s">
        <v>30</v>
      </c>
    </row>
    <row r="36" customFormat="false" ht="14.25" hidden="false" customHeight="false" outlineLevel="0" collapsed="false">
      <c r="A36" s="0" t="s">
        <v>31</v>
      </c>
    </row>
    <row r="37" customFormat="false" ht="14.25" hidden="false" customHeight="false" outlineLevel="0" collapsed="false">
      <c r="A37" s="0" t="s">
        <v>32</v>
      </c>
    </row>
    <row r="38" customFormat="false" ht="14.25" hidden="false" customHeight="false" outlineLevel="0" collapsed="false">
      <c r="A38" s="0" t="s">
        <v>33</v>
      </c>
    </row>
    <row r="39" customFormat="false" ht="14.25" hidden="false" customHeight="false" outlineLevel="0" collapsed="false">
      <c r="A39" s="0" t="s">
        <v>34</v>
      </c>
    </row>
    <row r="40" customFormat="false" ht="14.25" hidden="false" customHeight="false" outlineLevel="0" collapsed="false">
      <c r="A40" s="0" t="s">
        <v>35</v>
      </c>
    </row>
    <row r="41" customFormat="false" ht="14.25" hidden="false" customHeight="false" outlineLevel="0" collapsed="false">
      <c r="A41" s="0" t="s">
        <v>36</v>
      </c>
    </row>
    <row r="42" customFormat="false" ht="14.25" hidden="false" customHeight="false" outlineLevel="0" collapsed="false">
      <c r="A42" s="0" t="s">
        <v>37</v>
      </c>
    </row>
    <row r="43" customFormat="false" ht="14.25" hidden="false" customHeight="false" outlineLevel="0" collapsed="false">
      <c r="A43" s="0" t="s">
        <v>38</v>
      </c>
    </row>
    <row r="44" customFormat="false" ht="14.25" hidden="false" customHeight="false" outlineLevel="0" collapsed="false">
      <c r="A44" s="0" t="s">
        <v>39</v>
      </c>
    </row>
    <row r="45" customFormat="false" ht="14.25" hidden="false" customHeight="false" outlineLevel="0" collapsed="false">
      <c r="A45" s="0" t="s">
        <v>40</v>
      </c>
    </row>
    <row r="46" customFormat="false" ht="14.25" hidden="false" customHeight="false" outlineLevel="0" collapsed="false">
      <c r="A46" s="0" t="s">
        <v>3</v>
      </c>
    </row>
    <row r="47" customFormat="false" ht="14.25" hidden="false" customHeight="false" outlineLevel="0" collapsed="false">
      <c r="A47" s="0" t="s">
        <v>41</v>
      </c>
    </row>
    <row r="48" customFormat="false" ht="14.25" hidden="false" customHeight="false" outlineLevel="0" collapsed="false">
      <c r="A48" s="0" t="s">
        <v>42</v>
      </c>
    </row>
    <row r="49" customFormat="false" ht="14.25" hidden="false" customHeight="false" outlineLevel="0" collapsed="false">
      <c r="A49" s="0" t="s">
        <v>43</v>
      </c>
    </row>
    <row r="50" customFormat="false" ht="14.25" hidden="false" customHeight="false" outlineLevel="0" collapsed="false">
      <c r="A50" s="0" t="s">
        <v>44</v>
      </c>
    </row>
    <row r="51" customFormat="false" ht="14.25" hidden="false" customHeight="false" outlineLevel="0" collapsed="false">
      <c r="A51" s="0" t="s">
        <v>11</v>
      </c>
    </row>
    <row r="52" customFormat="false" ht="14.25" hidden="false" customHeight="false" outlineLevel="0" collapsed="false">
      <c r="A52" s="0" t="s">
        <v>45</v>
      </c>
    </row>
    <row r="53" customFormat="false" ht="14.25" hidden="false" customHeight="false" outlineLevel="0" collapsed="false">
      <c r="A53" s="0" t="s">
        <v>46</v>
      </c>
    </row>
    <row r="54" customFormat="false" ht="14.25" hidden="false" customHeight="false" outlineLevel="0" collapsed="false">
      <c r="A54" s="0" t="s">
        <v>38</v>
      </c>
    </row>
    <row r="55" customFormat="false" ht="14.25" hidden="false" customHeight="false" outlineLevel="0" collapsed="false">
      <c r="A55" s="0" t="s">
        <v>47</v>
      </c>
    </row>
    <row r="56" customFormat="false" ht="14.25" hidden="false" customHeight="false" outlineLevel="0" collapsed="false">
      <c r="A56" s="0" t="s">
        <v>48</v>
      </c>
    </row>
    <row r="57" customFormat="false" ht="14.25" hidden="false" customHeight="false" outlineLevel="0" collapsed="false">
      <c r="A57" s="0" t="s">
        <v>49</v>
      </c>
    </row>
    <row r="58" customFormat="false" ht="14.25" hidden="false" customHeight="false" outlineLevel="0" collapsed="false">
      <c r="A58" s="0" t="s">
        <v>50</v>
      </c>
    </row>
    <row r="59" customFormat="false" ht="14.25" hidden="false" customHeight="false" outlineLevel="0" collapsed="false">
      <c r="A59" s="0" t="s">
        <v>40</v>
      </c>
    </row>
    <row r="60" customFormat="false" ht="14.25" hidden="false" customHeight="false" outlineLevel="0" collapsed="false">
      <c r="A60" s="0" t="s">
        <v>20</v>
      </c>
    </row>
    <row r="61" customFormat="false" ht="14.25" hidden="false" customHeight="false" outlineLevel="0" collapsed="false">
      <c r="A61" s="0" t="s">
        <v>51</v>
      </c>
    </row>
    <row r="62" customFormat="false" ht="14.25" hidden="false" customHeight="false" outlineLevel="0" collapsed="false">
      <c r="A62" s="0" t="s">
        <v>52</v>
      </c>
    </row>
    <row r="63" customFormat="false" ht="14.25" hidden="false" customHeight="false" outlineLevel="0" collapsed="false">
      <c r="A63" s="0" t="s">
        <v>43</v>
      </c>
    </row>
    <row r="64" customFormat="false" ht="14.25" hidden="false" customHeight="false" outlineLevel="0" collapsed="false">
      <c r="A64" s="0" t="s">
        <v>41</v>
      </c>
    </row>
    <row r="65" customFormat="false" ht="14.25" hidden="false" customHeight="false" outlineLevel="0" collapsed="false">
      <c r="A65" s="0" t="s">
        <v>53</v>
      </c>
    </row>
    <row r="66" customFormat="false" ht="14.25" hidden="false" customHeight="false" outlineLevel="0" collapsed="false">
      <c r="A66" s="0" t="s">
        <v>54</v>
      </c>
    </row>
    <row r="67" customFormat="false" ht="14.25" hidden="false" customHeight="false" outlineLevel="0" collapsed="false">
      <c r="A67" s="0" t="s">
        <v>49</v>
      </c>
    </row>
    <row r="68" customFormat="false" ht="14.25" hidden="false" customHeight="false" outlineLevel="0" collapsed="false">
      <c r="A68" s="0" t="s">
        <v>55</v>
      </c>
    </row>
    <row r="69" customFormat="false" ht="14.25" hidden="false" customHeight="false" outlineLevel="0" collapsed="false">
      <c r="A69" s="0" t="s">
        <v>56</v>
      </c>
    </row>
    <row r="70" customFormat="false" ht="14.25" hidden="false" customHeight="false" outlineLevel="0" collapsed="false">
      <c r="A70" s="0" t="s">
        <v>38</v>
      </c>
    </row>
    <row r="71" customFormat="false" ht="14.25" hidden="false" customHeight="false" outlineLevel="0" collapsed="false">
      <c r="A71" s="0" t="s">
        <v>57</v>
      </c>
    </row>
    <row r="72" customFormat="false" ht="14.25" hidden="false" customHeight="false" outlineLevel="0" collapsed="false">
      <c r="A72" s="0" t="s">
        <v>37</v>
      </c>
    </row>
    <row r="73" customFormat="false" ht="14.25" hidden="false" customHeight="false" outlineLevel="0" collapsed="false">
      <c r="A73" s="0" t="s">
        <v>58</v>
      </c>
    </row>
    <row r="74" customFormat="false" ht="14.25" hidden="false" customHeight="false" outlineLevel="0" collapsed="false">
      <c r="A74" s="0" t="s">
        <v>59</v>
      </c>
    </row>
    <row r="75" customFormat="false" ht="14.25" hidden="false" customHeight="false" outlineLevel="0" collapsed="false">
      <c r="A75" s="0" t="s">
        <v>48</v>
      </c>
    </row>
    <row r="76" customFormat="false" ht="14.25" hidden="false" customHeight="false" outlineLevel="0" collapsed="false">
      <c r="A76" s="0" t="s">
        <v>60</v>
      </c>
    </row>
    <row r="77" customFormat="false" ht="14.25" hidden="false" customHeight="false" outlineLevel="0" collapsed="false">
      <c r="A77" s="0" t="s">
        <v>61</v>
      </c>
    </row>
    <row r="78" customFormat="false" ht="14.25" hidden="false" customHeight="false" outlineLevel="0" collapsed="false">
      <c r="A78" s="0" t="s">
        <v>62</v>
      </c>
    </row>
    <row r="79" customFormat="false" ht="14.25" hidden="false" customHeight="false" outlineLevel="0" collapsed="false">
      <c r="A79" s="0" t="s">
        <v>63</v>
      </c>
    </row>
    <row r="80" customFormat="false" ht="14.25" hidden="false" customHeight="false" outlineLevel="0" collapsed="false">
      <c r="A80" s="0" t="s">
        <v>64</v>
      </c>
    </row>
    <row r="81" customFormat="false" ht="14.25" hidden="false" customHeight="false" outlineLevel="0" collapsed="false">
      <c r="A81" s="0" t="s">
        <v>1</v>
      </c>
    </row>
    <row r="82" customFormat="false" ht="14.25" hidden="false" customHeight="false" outlineLevel="0" collapsed="false">
      <c r="A82" s="0" t="s">
        <v>25</v>
      </c>
    </row>
    <row r="83" customFormat="false" ht="14.25" hidden="false" customHeight="false" outlineLevel="0" collapsed="false">
      <c r="A83" s="0" t="s">
        <v>42</v>
      </c>
    </row>
    <row r="84" customFormat="false" ht="14.25" hidden="false" customHeight="false" outlineLevel="0" collapsed="false">
      <c r="A84" s="0" t="s">
        <v>65</v>
      </c>
    </row>
    <row r="85" customFormat="false" ht="14.25" hidden="false" customHeight="false" outlineLevel="0" collapsed="false">
      <c r="A85" s="0" t="s">
        <v>66</v>
      </c>
    </row>
    <row r="86" customFormat="false" ht="14.25" hidden="false" customHeight="false" outlineLevel="0" collapsed="false">
      <c r="A86" s="0" t="s">
        <v>67</v>
      </c>
    </row>
    <row r="87" customFormat="false" ht="14.25" hidden="false" customHeight="false" outlineLevel="0" collapsed="false">
      <c r="A87" s="0" t="s">
        <v>11</v>
      </c>
    </row>
    <row r="88" customFormat="false" ht="14.25" hidden="false" customHeight="false" outlineLevel="0" collapsed="false">
      <c r="A88" s="0" t="s">
        <v>68</v>
      </c>
    </row>
    <row r="89" customFormat="false" ht="14.25" hidden="false" customHeight="false" outlineLevel="0" collapsed="false">
      <c r="A89" s="0" t="s">
        <v>69</v>
      </c>
    </row>
    <row r="90" customFormat="false" ht="14.25" hidden="false" customHeight="false" outlineLevel="0" collapsed="false">
      <c r="A90" s="0" t="s">
        <v>70</v>
      </c>
    </row>
    <row r="91" customFormat="false" ht="14.25" hidden="false" customHeight="false" outlineLevel="0" collapsed="false">
      <c r="A91" s="0" t="s">
        <v>71</v>
      </c>
    </row>
    <row r="92" customFormat="false" ht="14.25" hidden="false" customHeight="false" outlineLevel="0" collapsed="false">
      <c r="A92" s="0" t="s">
        <v>72</v>
      </c>
    </row>
    <row r="93" customFormat="false" ht="14.25" hidden="false" customHeight="false" outlineLevel="0" collapsed="false">
      <c r="A93" s="0" t="s">
        <v>46</v>
      </c>
    </row>
    <row r="94" customFormat="false" ht="14.25" hidden="false" customHeight="false" outlineLevel="0" collapsed="false">
      <c r="A94" s="0" t="s">
        <v>44</v>
      </c>
    </row>
    <row r="95" customFormat="false" ht="14.25" hidden="false" customHeight="false" outlineLevel="0" collapsed="false">
      <c r="A95" s="0" t="s">
        <v>37</v>
      </c>
    </row>
    <row r="96" customFormat="false" ht="14.25" hidden="false" customHeight="false" outlineLevel="0" collapsed="false">
      <c r="A96" s="0" t="s">
        <v>73</v>
      </c>
    </row>
    <row r="97" customFormat="false" ht="14.25" hidden="false" customHeight="false" outlineLevel="0" collapsed="false">
      <c r="A97" s="0" t="s">
        <v>20</v>
      </c>
    </row>
    <row r="98" customFormat="false" ht="14.25" hidden="false" customHeight="false" outlineLevel="0" collapsed="false">
      <c r="A98" s="0" t="s">
        <v>1</v>
      </c>
    </row>
    <row r="99" customFormat="false" ht="14.25" hidden="false" customHeight="false" outlineLevel="0" collapsed="false">
      <c r="A99" s="0" t="s">
        <v>74</v>
      </c>
    </row>
    <row r="100" customFormat="false" ht="14.25" hidden="false" customHeight="false" outlineLevel="0" collapsed="false">
      <c r="A100" s="0" t="s">
        <v>19</v>
      </c>
    </row>
    <row r="101" customFormat="false" ht="14.25" hidden="false" customHeight="false" outlineLevel="0" collapsed="false">
      <c r="A101" s="0" t="s">
        <v>75</v>
      </c>
    </row>
    <row r="102" customFormat="false" ht="14.25" hidden="false" customHeight="false" outlineLevel="0" collapsed="false">
      <c r="A102" s="0" t="s">
        <v>63</v>
      </c>
    </row>
    <row r="103" customFormat="false" ht="14.25" hidden="false" customHeight="false" outlineLevel="0" collapsed="false">
      <c r="A103" s="0" t="s">
        <v>56</v>
      </c>
    </row>
    <row r="104" customFormat="false" ht="14.25" hidden="false" customHeight="false" outlineLevel="0" collapsed="false">
      <c r="A104" s="0" t="s">
        <v>33</v>
      </c>
    </row>
    <row r="105" customFormat="false" ht="14.25" hidden="false" customHeight="false" outlineLevel="0" collapsed="false">
      <c r="A105" s="0" t="s">
        <v>76</v>
      </c>
    </row>
    <row r="106" customFormat="false" ht="14.25" hidden="false" customHeight="false" outlineLevel="0" collapsed="false">
      <c r="A106" s="0" t="s">
        <v>28</v>
      </c>
    </row>
    <row r="107" customFormat="false" ht="14.25" hidden="false" customHeight="false" outlineLevel="0" collapsed="false">
      <c r="A107" s="0" t="s">
        <v>77</v>
      </c>
    </row>
    <row r="108" customFormat="false" ht="14.25" hidden="false" customHeight="false" outlineLevel="0" collapsed="false">
      <c r="A108" s="0" t="s">
        <v>78</v>
      </c>
    </row>
    <row r="109" customFormat="false" ht="14.25" hidden="false" customHeight="false" outlineLevel="0" collapsed="false">
      <c r="A109" s="0" t="s">
        <v>17</v>
      </c>
    </row>
    <row r="110" customFormat="false" ht="14.25" hidden="false" customHeight="false" outlineLevel="0" collapsed="false">
      <c r="A110" s="0" t="s">
        <v>19</v>
      </c>
    </row>
    <row r="111" customFormat="false" ht="14.25" hidden="false" customHeight="false" outlineLevel="0" collapsed="false">
      <c r="A111" s="0" t="s">
        <v>79</v>
      </c>
    </row>
    <row r="112" customFormat="false" ht="14.25" hidden="false" customHeight="false" outlineLevel="0" collapsed="false">
      <c r="A112" s="0" t="s">
        <v>80</v>
      </c>
    </row>
    <row r="113" customFormat="false" ht="14.25" hidden="false" customHeight="false" outlineLevel="0" collapsed="false">
      <c r="A113" s="0" t="s">
        <v>81</v>
      </c>
    </row>
    <row r="114" customFormat="false" ht="14.25" hidden="false" customHeight="false" outlineLevel="0" collapsed="false">
      <c r="A114" s="0" t="s">
        <v>73</v>
      </c>
    </row>
    <row r="115" customFormat="false" ht="14.25" hidden="false" customHeight="false" outlineLevel="0" collapsed="false">
      <c r="A115" s="0" t="s">
        <v>82</v>
      </c>
    </row>
    <row r="116" customFormat="false" ht="14.25" hidden="false" customHeight="false" outlineLevel="0" collapsed="false">
      <c r="A116" s="0" t="s">
        <v>83</v>
      </c>
    </row>
    <row r="117" customFormat="false" ht="14.25" hidden="false" customHeight="false" outlineLevel="0" collapsed="false">
      <c r="A117" s="0" t="s">
        <v>72</v>
      </c>
    </row>
    <row r="118" customFormat="false" ht="14.25" hidden="false" customHeight="false" outlineLevel="0" collapsed="false">
      <c r="A118" s="0" t="s">
        <v>11</v>
      </c>
    </row>
    <row r="119" customFormat="false" ht="14.25" hidden="false" customHeight="false" outlineLevel="0" collapsed="false">
      <c r="A119" s="0" t="s">
        <v>84</v>
      </c>
    </row>
    <row r="120" customFormat="false" ht="14.25" hidden="false" customHeight="false" outlineLevel="0" collapsed="false">
      <c r="A120" s="0" t="s">
        <v>85</v>
      </c>
    </row>
    <row r="121" customFormat="false" ht="14.25" hidden="false" customHeight="false" outlineLevel="0" collapsed="false">
      <c r="A121" s="0" t="s">
        <v>56</v>
      </c>
    </row>
    <row r="122" customFormat="false" ht="14.25" hidden="false" customHeight="false" outlineLevel="0" collapsed="false">
      <c r="A122" s="0" t="s">
        <v>53</v>
      </c>
    </row>
    <row r="123" customFormat="false" ht="14.25" hidden="false" customHeight="false" outlineLevel="0" collapsed="false">
      <c r="A123" s="0" t="s">
        <v>1</v>
      </c>
    </row>
    <row r="124" customFormat="false" ht="14.25" hidden="false" customHeight="false" outlineLevel="0" collapsed="false">
      <c r="A124" s="0" t="s">
        <v>25</v>
      </c>
    </row>
    <row r="125" customFormat="false" ht="14.25" hidden="false" customHeight="false" outlineLevel="0" collapsed="false">
      <c r="A125" s="0" t="s">
        <v>6</v>
      </c>
    </row>
    <row r="126" customFormat="false" ht="14.25" hidden="false" customHeight="false" outlineLevel="0" collapsed="false">
      <c r="A126" s="0" t="s">
        <v>67</v>
      </c>
    </row>
    <row r="127" customFormat="false" ht="14.25" hidden="false" customHeight="false" outlineLevel="0" collapsed="false">
      <c r="A127" s="0" t="s">
        <v>28</v>
      </c>
    </row>
    <row r="128" customFormat="false" ht="14.25" hidden="false" customHeight="false" outlineLevel="0" collapsed="false">
      <c r="A128" s="0" t="s">
        <v>86</v>
      </c>
    </row>
    <row r="129" customFormat="false" ht="14.25" hidden="false" customHeight="false" outlineLevel="0" collapsed="false">
      <c r="A129" s="0" t="s">
        <v>49</v>
      </c>
    </row>
    <row r="130" customFormat="false" ht="14.25" hidden="false" customHeight="false" outlineLevel="0" collapsed="false">
      <c r="A130" s="0" t="s">
        <v>87</v>
      </c>
    </row>
    <row r="131" customFormat="false" ht="14.25" hidden="false" customHeight="false" outlineLevel="0" collapsed="false">
      <c r="A131" s="0" t="s">
        <v>56</v>
      </c>
    </row>
    <row r="132" customFormat="false" ht="14.25" hidden="false" customHeight="false" outlineLevel="0" collapsed="false">
      <c r="A132" s="0" t="s">
        <v>88</v>
      </c>
    </row>
    <row r="133" customFormat="false" ht="14.25" hidden="false" customHeight="false" outlineLevel="0" collapsed="false">
      <c r="A133" s="0" t="s">
        <v>76</v>
      </c>
    </row>
    <row r="134" customFormat="false" ht="14.25" hidden="false" customHeight="false" outlineLevel="0" collapsed="false">
      <c r="A134" s="0" t="s">
        <v>89</v>
      </c>
    </row>
    <row r="135" customFormat="false" ht="14.25" hidden="false" customHeight="false" outlineLevel="0" collapsed="false">
      <c r="A135" s="0" t="s">
        <v>90</v>
      </c>
    </row>
    <row r="136" customFormat="false" ht="14.25" hidden="false" customHeight="false" outlineLevel="0" collapsed="false">
      <c r="A136" s="0" t="s">
        <v>91</v>
      </c>
    </row>
    <row r="137" customFormat="false" ht="14.25" hidden="false" customHeight="false" outlineLevel="0" collapsed="false">
      <c r="A137" s="0" t="s">
        <v>92</v>
      </c>
    </row>
    <row r="138" customFormat="false" ht="14.25" hidden="false" customHeight="false" outlineLevel="0" collapsed="false">
      <c r="A138" s="0" t="s">
        <v>55</v>
      </c>
    </row>
    <row r="139" customFormat="false" ht="14.25" hidden="false" customHeight="false" outlineLevel="0" collapsed="false">
      <c r="A139" s="0" t="s">
        <v>93</v>
      </c>
    </row>
    <row r="140" customFormat="false" ht="14.25" hidden="false" customHeight="false" outlineLevel="0" collapsed="false">
      <c r="A140" s="0" t="s">
        <v>38</v>
      </c>
    </row>
    <row r="141" customFormat="false" ht="14.25" hidden="false" customHeight="false" outlineLevel="0" collapsed="false">
      <c r="A141" s="0" t="s">
        <v>37</v>
      </c>
    </row>
    <row r="142" customFormat="false" ht="14.25" hidden="false" customHeight="false" outlineLevel="0" collapsed="false">
      <c r="A142" s="0" t="s">
        <v>75</v>
      </c>
    </row>
    <row r="143" customFormat="false" ht="14.25" hidden="false" customHeight="false" outlineLevel="0" collapsed="false">
      <c r="A143" s="0" t="s">
        <v>86</v>
      </c>
    </row>
    <row r="144" customFormat="false" ht="14.25" hidden="false" customHeight="false" outlineLevel="0" collapsed="false">
      <c r="A144" s="0" t="s">
        <v>94</v>
      </c>
    </row>
    <row r="145" customFormat="false" ht="14.25" hidden="false" customHeight="false" outlineLevel="0" collapsed="false">
      <c r="A145" s="0" t="s">
        <v>32</v>
      </c>
    </row>
    <row r="146" customFormat="false" ht="14.25" hidden="false" customHeight="false" outlineLevel="0" collapsed="false">
      <c r="A146" s="0" t="s">
        <v>37</v>
      </c>
    </row>
    <row r="147" customFormat="false" ht="14.25" hidden="false" customHeight="false" outlineLevel="0" collapsed="false">
      <c r="A147" s="0" t="s">
        <v>55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4.25" zeroHeight="false" outlineLevelRow="0" outlineLevelCol="0"/>
  <sheetData>
    <row r="1" customFormat="false" ht="14.25" hidden="false" customHeight="false" outlineLevel="0" collapsed="false">
      <c r="A1" s="1" t="s">
        <v>95</v>
      </c>
    </row>
    <row r="2" customFormat="false" ht="14.25" hidden="false" customHeight="false" outlineLevel="0" collapsed="false">
      <c r="A2" s="1" t="s">
        <v>96</v>
      </c>
    </row>
    <row r="3" customFormat="false" ht="14.25" hidden="false" customHeight="false" outlineLevel="0" collapsed="false">
      <c r="A3" s="1" t="s">
        <v>97</v>
      </c>
    </row>
    <row r="4" customFormat="false" ht="14.25" hidden="false" customHeight="false" outlineLevel="0" collapsed="false">
      <c r="A4" s="1" t="s">
        <v>98</v>
      </c>
    </row>
    <row r="5" customFormat="false" ht="14.25" hidden="false" customHeight="false" outlineLevel="0" collapsed="false">
      <c r="A5" s="1" t="s">
        <v>99</v>
      </c>
    </row>
    <row r="6" customFormat="false" ht="14.25" hidden="false" customHeight="false" outlineLevel="0" collapsed="false">
      <c r="A6" s="1" t="s">
        <v>100</v>
      </c>
    </row>
    <row r="7" customFormat="false" ht="14.25" hidden="false" customHeight="false" outlineLevel="0" collapsed="false">
      <c r="A7" s="1" t="s">
        <v>101</v>
      </c>
    </row>
    <row r="8" customFormat="false" ht="14.25" hidden="false" customHeight="false" outlineLevel="0" collapsed="false">
      <c r="A8" s="1" t="s">
        <v>102</v>
      </c>
    </row>
    <row r="9" customFormat="false" ht="14.25" hidden="false" customHeight="false" outlineLevel="0" collapsed="false">
      <c r="A9" s="1" t="s">
        <v>103</v>
      </c>
    </row>
    <row r="10" customFormat="false" ht="14.25" hidden="false" customHeight="false" outlineLevel="0" collapsed="false">
      <c r="A10" s="1" t="s">
        <v>104</v>
      </c>
    </row>
    <row r="11" customFormat="false" ht="14.25" hidden="false" customHeight="false" outlineLevel="0" collapsed="false">
      <c r="A11" s="1" t="s">
        <v>105</v>
      </c>
    </row>
    <row r="12" customFormat="false" ht="14.25" hidden="false" customHeight="false" outlineLevel="0" collapsed="false">
      <c r="A12" s="1" t="s">
        <v>106</v>
      </c>
    </row>
    <row r="13" customFormat="false" ht="14.25" hidden="false" customHeight="false" outlineLevel="0" collapsed="false">
      <c r="A13" s="1" t="s">
        <v>107</v>
      </c>
    </row>
    <row r="14" customFormat="false" ht="14.25" hidden="false" customHeight="false" outlineLevel="0" collapsed="false">
      <c r="A14" s="1" t="s">
        <v>108</v>
      </c>
    </row>
    <row r="15" customFormat="false" ht="14.25" hidden="false" customHeight="false" outlineLevel="0" collapsed="false">
      <c r="A15" s="1" t="s">
        <v>109</v>
      </c>
    </row>
    <row r="16" customFormat="false" ht="14.25" hidden="false" customHeight="false" outlineLevel="0" collapsed="false">
      <c r="A16" s="1" t="s">
        <v>110</v>
      </c>
    </row>
    <row r="17" customFormat="false" ht="14.25" hidden="false" customHeight="false" outlineLevel="0" collapsed="false">
      <c r="A17" s="1" t="s">
        <v>111</v>
      </c>
    </row>
    <row r="18" customFormat="false" ht="14.25" hidden="false" customHeight="false" outlineLevel="0" collapsed="false">
      <c r="A18" s="1" t="s">
        <v>112</v>
      </c>
    </row>
    <row r="19" customFormat="false" ht="14.25" hidden="false" customHeight="false" outlineLevel="0" collapsed="false">
      <c r="A19" s="1" t="s">
        <v>113</v>
      </c>
    </row>
    <row r="20" customFormat="false" ht="14.25" hidden="false" customHeight="false" outlineLevel="0" collapsed="false">
      <c r="A20" s="1" t="s">
        <v>114</v>
      </c>
    </row>
    <row r="21" customFormat="false" ht="14.25" hidden="false" customHeight="false" outlineLevel="0" collapsed="false">
      <c r="A21" s="1" t="s">
        <v>115</v>
      </c>
    </row>
    <row r="22" customFormat="false" ht="14.25" hidden="false" customHeight="false" outlineLevel="0" collapsed="false">
      <c r="A22" s="1" t="s">
        <v>116</v>
      </c>
    </row>
    <row r="23" customFormat="false" ht="14.25" hidden="false" customHeight="false" outlineLevel="0" collapsed="false">
      <c r="A23" s="1" t="s">
        <v>117</v>
      </c>
    </row>
    <row r="24" customFormat="false" ht="14.25" hidden="false" customHeight="false" outlineLevel="0" collapsed="false">
      <c r="A24" s="1" t="s">
        <v>118</v>
      </c>
    </row>
    <row r="25" customFormat="false" ht="14.25" hidden="false" customHeight="false" outlineLevel="0" collapsed="false">
      <c r="A25" s="1" t="s">
        <v>119</v>
      </c>
    </row>
    <row r="26" customFormat="false" ht="14.25" hidden="false" customHeight="false" outlineLevel="0" collapsed="false">
      <c r="A26" s="1" t="s">
        <v>120</v>
      </c>
    </row>
    <row r="27" customFormat="false" ht="14.25" hidden="false" customHeight="false" outlineLevel="0" collapsed="false">
      <c r="A27" s="1" t="s">
        <v>121</v>
      </c>
    </row>
    <row r="28" customFormat="false" ht="14.25" hidden="false" customHeight="false" outlineLevel="0" collapsed="false">
      <c r="A28" s="1" t="s">
        <v>122</v>
      </c>
    </row>
    <row r="29" customFormat="false" ht="14.25" hidden="false" customHeight="false" outlineLevel="0" collapsed="false">
      <c r="A29" s="1" t="s">
        <v>123</v>
      </c>
    </row>
    <row r="30" customFormat="false" ht="14.25" hidden="false" customHeight="false" outlineLevel="0" collapsed="false">
      <c r="A30" s="1" t="s">
        <v>124</v>
      </c>
    </row>
    <row r="31" customFormat="false" ht="14.25" hidden="false" customHeight="false" outlineLevel="0" collapsed="false">
      <c r="A31" s="1" t="s">
        <v>125</v>
      </c>
    </row>
    <row r="32" customFormat="false" ht="14.25" hidden="false" customHeight="false" outlineLevel="0" collapsed="false">
      <c r="A32" s="1" t="s">
        <v>126</v>
      </c>
    </row>
    <row r="33" customFormat="false" ht="14.25" hidden="false" customHeight="false" outlineLevel="0" collapsed="false">
      <c r="A33" s="1" t="s">
        <v>127</v>
      </c>
    </row>
    <row r="34" customFormat="false" ht="14.25" hidden="false" customHeight="false" outlineLevel="0" collapsed="false">
      <c r="A34" s="1" t="s">
        <v>128</v>
      </c>
    </row>
    <row r="35" customFormat="false" ht="14.25" hidden="false" customHeight="false" outlineLevel="0" collapsed="false">
      <c r="A35" s="1" t="s">
        <v>129</v>
      </c>
    </row>
    <row r="36" customFormat="false" ht="14.25" hidden="false" customHeight="false" outlineLevel="0" collapsed="false">
      <c r="A36" s="1" t="s">
        <v>130</v>
      </c>
    </row>
    <row r="37" customFormat="false" ht="14.25" hidden="false" customHeight="false" outlineLevel="0" collapsed="false">
      <c r="A37" s="1" t="s">
        <v>131</v>
      </c>
    </row>
    <row r="38" customFormat="false" ht="14.25" hidden="false" customHeight="false" outlineLevel="0" collapsed="false">
      <c r="A38" s="1" t="s">
        <v>132</v>
      </c>
    </row>
    <row r="39" customFormat="false" ht="14.25" hidden="false" customHeight="false" outlineLevel="0" collapsed="false">
      <c r="A39" s="1" t="s">
        <v>133</v>
      </c>
    </row>
    <row r="40" customFormat="false" ht="14.25" hidden="false" customHeight="false" outlineLevel="0" collapsed="false">
      <c r="A40" s="1" t="s">
        <v>134</v>
      </c>
    </row>
    <row r="41" customFormat="false" ht="14.25" hidden="false" customHeight="false" outlineLevel="0" collapsed="false">
      <c r="A41" s="1" t="s">
        <v>135</v>
      </c>
    </row>
    <row r="42" customFormat="false" ht="14.25" hidden="false" customHeight="false" outlineLevel="0" collapsed="false">
      <c r="A42" s="1" t="s">
        <v>136</v>
      </c>
    </row>
    <row r="43" customFormat="false" ht="14.25" hidden="false" customHeight="false" outlineLevel="0" collapsed="false">
      <c r="A43" s="1" t="s">
        <v>137</v>
      </c>
    </row>
    <row r="44" customFormat="false" ht="14.25" hidden="false" customHeight="false" outlineLevel="0" collapsed="false">
      <c r="A44" s="1" t="s">
        <v>138</v>
      </c>
    </row>
    <row r="45" customFormat="false" ht="14.25" hidden="false" customHeight="false" outlineLevel="0" collapsed="false">
      <c r="A45" s="1" t="s">
        <v>139</v>
      </c>
    </row>
    <row r="46" customFormat="false" ht="14.25" hidden="false" customHeight="false" outlineLevel="0" collapsed="false">
      <c r="A46" s="1" t="s">
        <v>140</v>
      </c>
    </row>
    <row r="47" customFormat="false" ht="14.25" hidden="false" customHeight="false" outlineLevel="0" collapsed="false">
      <c r="A47" s="1" t="s">
        <v>141</v>
      </c>
    </row>
    <row r="48" customFormat="false" ht="14.25" hidden="false" customHeight="false" outlineLevel="0" collapsed="false">
      <c r="A48" s="1" t="s">
        <v>142</v>
      </c>
    </row>
    <row r="49" customFormat="false" ht="14.25" hidden="false" customHeight="false" outlineLevel="0" collapsed="false">
      <c r="A49" s="1" t="s">
        <v>143</v>
      </c>
    </row>
    <row r="50" customFormat="false" ht="14.25" hidden="false" customHeight="false" outlineLevel="0" collapsed="false">
      <c r="A50" s="1" t="s">
        <v>144</v>
      </c>
    </row>
    <row r="51" customFormat="false" ht="14.25" hidden="false" customHeight="false" outlineLevel="0" collapsed="false">
      <c r="A51" s="1" t="s">
        <v>145</v>
      </c>
    </row>
    <row r="52" customFormat="false" ht="14.25" hidden="false" customHeight="false" outlineLevel="0" collapsed="false">
      <c r="A52" s="1" t="s">
        <v>146</v>
      </c>
    </row>
    <row r="53" customFormat="false" ht="14.25" hidden="false" customHeight="false" outlineLevel="0" collapsed="false">
      <c r="A53" s="1" t="s">
        <v>147</v>
      </c>
    </row>
    <row r="54" customFormat="false" ht="14.25" hidden="false" customHeight="false" outlineLevel="0" collapsed="false">
      <c r="A54" s="1" t="s">
        <v>148</v>
      </c>
    </row>
    <row r="55" customFormat="false" ht="14.25" hidden="false" customHeight="false" outlineLevel="0" collapsed="false">
      <c r="A55" s="1" t="s">
        <v>149</v>
      </c>
    </row>
    <row r="56" customFormat="false" ht="14.25" hidden="false" customHeight="false" outlineLevel="0" collapsed="false">
      <c r="A56" s="1" t="s">
        <v>150</v>
      </c>
    </row>
    <row r="57" customFormat="false" ht="14.25" hidden="false" customHeight="false" outlineLevel="0" collapsed="false">
      <c r="A57" s="1" t="s">
        <v>151</v>
      </c>
    </row>
    <row r="58" customFormat="false" ht="14.25" hidden="false" customHeight="false" outlineLevel="0" collapsed="false">
      <c r="A58" s="1" t="s">
        <v>152</v>
      </c>
    </row>
    <row r="59" customFormat="false" ht="14.25" hidden="false" customHeight="false" outlineLevel="0" collapsed="false">
      <c r="A59" s="1" t="s">
        <v>153</v>
      </c>
    </row>
    <row r="60" customFormat="false" ht="14.25" hidden="false" customHeight="false" outlineLevel="0" collapsed="false">
      <c r="A60" s="1" t="s">
        <v>154</v>
      </c>
    </row>
    <row r="61" customFormat="false" ht="14.25" hidden="false" customHeight="false" outlineLevel="0" collapsed="false">
      <c r="A61" s="1" t="s">
        <v>155</v>
      </c>
    </row>
    <row r="62" customFormat="false" ht="14.25" hidden="false" customHeight="false" outlineLevel="0" collapsed="false">
      <c r="A62" s="1" t="s">
        <v>156</v>
      </c>
    </row>
    <row r="63" customFormat="false" ht="14.25" hidden="false" customHeight="false" outlineLevel="0" collapsed="false">
      <c r="A63" s="1" t="s">
        <v>157</v>
      </c>
    </row>
    <row r="64" customFormat="false" ht="14.25" hidden="false" customHeight="false" outlineLevel="0" collapsed="false">
      <c r="A64" s="1" t="s">
        <v>158</v>
      </c>
    </row>
    <row r="65" customFormat="false" ht="14.25" hidden="false" customHeight="false" outlineLevel="0" collapsed="false">
      <c r="A65" s="1" t="s">
        <v>159</v>
      </c>
    </row>
    <row r="66" customFormat="false" ht="14.25" hidden="false" customHeight="false" outlineLevel="0" collapsed="false">
      <c r="A66" s="1" t="s">
        <v>160</v>
      </c>
    </row>
    <row r="67" customFormat="false" ht="14.25" hidden="false" customHeight="false" outlineLevel="0" collapsed="false">
      <c r="A67" s="1" t="s">
        <v>161</v>
      </c>
    </row>
    <row r="68" customFormat="false" ht="14.25" hidden="false" customHeight="false" outlineLevel="0" collapsed="false">
      <c r="A68" s="1" t="s">
        <v>162</v>
      </c>
    </row>
    <row r="69" customFormat="false" ht="14.25" hidden="false" customHeight="false" outlineLevel="0" collapsed="false">
      <c r="A69" s="1" t="s">
        <v>163</v>
      </c>
    </row>
    <row r="70" customFormat="false" ht="14.25" hidden="false" customHeight="false" outlineLevel="0" collapsed="false">
      <c r="A70" s="1" t="s">
        <v>164</v>
      </c>
    </row>
    <row r="71" customFormat="false" ht="14.25" hidden="false" customHeight="false" outlineLevel="0" collapsed="false">
      <c r="A71" s="1" t="s">
        <v>165</v>
      </c>
    </row>
    <row r="72" customFormat="false" ht="14.25" hidden="false" customHeight="false" outlineLevel="0" collapsed="false">
      <c r="A72" s="1" t="s">
        <v>166</v>
      </c>
    </row>
    <row r="73" customFormat="false" ht="14.25" hidden="false" customHeight="false" outlineLevel="0" collapsed="false">
      <c r="A73" s="1" t="s">
        <v>167</v>
      </c>
    </row>
    <row r="74" customFormat="false" ht="14.25" hidden="false" customHeight="false" outlineLevel="0" collapsed="false">
      <c r="A74" s="1" t="s">
        <v>168</v>
      </c>
    </row>
    <row r="75" customFormat="false" ht="14.25" hidden="false" customHeight="false" outlineLevel="0" collapsed="false">
      <c r="A75" s="1" t="s">
        <v>169</v>
      </c>
    </row>
    <row r="76" customFormat="false" ht="14.25" hidden="false" customHeight="false" outlineLevel="0" collapsed="false">
      <c r="A76" s="1" t="s">
        <v>170</v>
      </c>
    </row>
    <row r="77" customFormat="false" ht="14.25" hidden="false" customHeight="false" outlineLevel="0" collapsed="false">
      <c r="A77" s="1" t="s">
        <v>171</v>
      </c>
    </row>
    <row r="78" customFormat="false" ht="14.25" hidden="false" customHeight="false" outlineLevel="0" collapsed="false">
      <c r="A78" s="1" t="s">
        <v>172</v>
      </c>
    </row>
    <row r="79" customFormat="false" ht="14.25" hidden="false" customHeight="false" outlineLevel="0" collapsed="false">
      <c r="A79" s="1" t="s">
        <v>173</v>
      </c>
    </row>
    <row r="80" customFormat="false" ht="14.25" hidden="false" customHeight="false" outlineLevel="0" collapsed="false">
      <c r="A80" s="1" t="s">
        <v>174</v>
      </c>
    </row>
    <row r="81" customFormat="false" ht="14.25" hidden="false" customHeight="false" outlineLevel="0" collapsed="false">
      <c r="A81" s="1" t="s">
        <v>175</v>
      </c>
    </row>
    <row r="82" customFormat="false" ht="14.25" hidden="false" customHeight="false" outlineLevel="0" collapsed="false">
      <c r="A82" s="1" t="s">
        <v>176</v>
      </c>
    </row>
    <row r="83" customFormat="false" ht="14.25" hidden="false" customHeight="false" outlineLevel="0" collapsed="false">
      <c r="A83" s="1" t="s">
        <v>177</v>
      </c>
    </row>
    <row r="84" customFormat="false" ht="14.25" hidden="false" customHeight="false" outlineLevel="0" collapsed="false">
      <c r="A84" s="1" t="s">
        <v>178</v>
      </c>
    </row>
    <row r="85" customFormat="false" ht="14.25" hidden="false" customHeight="false" outlineLevel="0" collapsed="false">
      <c r="A85" s="1" t="s">
        <v>179</v>
      </c>
    </row>
    <row r="86" customFormat="false" ht="14.25" hidden="false" customHeight="false" outlineLevel="0" collapsed="false">
      <c r="A86" s="1" t="s">
        <v>180</v>
      </c>
    </row>
    <row r="87" customFormat="false" ht="14.25" hidden="false" customHeight="false" outlineLevel="0" collapsed="false">
      <c r="A87" s="1" t="s">
        <v>181</v>
      </c>
    </row>
    <row r="88" customFormat="false" ht="14.25" hidden="false" customHeight="false" outlineLevel="0" collapsed="false">
      <c r="A88" s="1" t="s">
        <v>182</v>
      </c>
    </row>
    <row r="89" customFormat="false" ht="14.25" hidden="false" customHeight="false" outlineLevel="0" collapsed="false">
      <c r="A89" s="1" t="s">
        <v>183</v>
      </c>
    </row>
    <row r="90" customFormat="false" ht="14.25" hidden="false" customHeight="false" outlineLevel="0" collapsed="false">
      <c r="A90" s="1" t="s">
        <v>184</v>
      </c>
    </row>
    <row r="91" customFormat="false" ht="14.25" hidden="false" customHeight="false" outlineLevel="0" collapsed="false">
      <c r="A91" s="1" t="s">
        <v>185</v>
      </c>
    </row>
    <row r="92" customFormat="false" ht="14.25" hidden="false" customHeight="false" outlineLevel="0" collapsed="false">
      <c r="A92" s="1" t="s">
        <v>186</v>
      </c>
    </row>
    <row r="93" customFormat="false" ht="14.25" hidden="false" customHeight="false" outlineLevel="0" collapsed="false">
      <c r="A93" s="1" t="s">
        <v>187</v>
      </c>
    </row>
    <row r="94" customFormat="false" ht="14.25" hidden="false" customHeight="false" outlineLevel="0" collapsed="false">
      <c r="A94" s="1" t="s">
        <v>188</v>
      </c>
    </row>
    <row r="95" customFormat="false" ht="14.25" hidden="false" customHeight="false" outlineLevel="0" collapsed="false">
      <c r="A95" s="1" t="s">
        <v>189</v>
      </c>
    </row>
    <row r="96" customFormat="false" ht="14.25" hidden="false" customHeight="false" outlineLevel="0" collapsed="false">
      <c r="A96" s="1" t="s">
        <v>190</v>
      </c>
    </row>
    <row r="97" customFormat="false" ht="14.25" hidden="false" customHeight="false" outlineLevel="0" collapsed="false">
      <c r="A97" s="1" t="s">
        <v>191</v>
      </c>
    </row>
    <row r="98" customFormat="false" ht="14.25" hidden="false" customHeight="false" outlineLevel="0" collapsed="false">
      <c r="A98" s="1" t="s">
        <v>192</v>
      </c>
    </row>
    <row r="99" customFormat="false" ht="14.25" hidden="false" customHeight="false" outlineLevel="0" collapsed="false">
      <c r="A99" s="1" t="s">
        <v>193</v>
      </c>
    </row>
    <row r="100" customFormat="false" ht="14.25" hidden="false" customHeight="false" outlineLevel="0" collapsed="false">
      <c r="A100" s="1" t="s">
        <v>194</v>
      </c>
    </row>
    <row r="101" customFormat="false" ht="14.25" hidden="false" customHeight="false" outlineLevel="0" collapsed="false">
      <c r="A101" s="1" t="s">
        <v>195</v>
      </c>
    </row>
    <row r="102" customFormat="false" ht="14.25" hidden="false" customHeight="false" outlineLevel="0" collapsed="false">
      <c r="A102" s="1" t="s">
        <v>196</v>
      </c>
    </row>
    <row r="103" customFormat="false" ht="14.25" hidden="false" customHeight="false" outlineLevel="0" collapsed="false">
      <c r="A103" s="1" t="s">
        <v>197</v>
      </c>
    </row>
    <row r="104" customFormat="false" ht="14.25" hidden="false" customHeight="false" outlineLevel="0" collapsed="false">
      <c r="A104" s="1" t="s">
        <v>198</v>
      </c>
    </row>
    <row r="105" customFormat="false" ht="14.25" hidden="false" customHeight="false" outlineLevel="0" collapsed="false">
      <c r="A105" s="1" t="s">
        <v>199</v>
      </c>
    </row>
    <row r="106" customFormat="false" ht="14.25" hidden="false" customHeight="false" outlineLevel="0" collapsed="false">
      <c r="A106" s="1" t="s">
        <v>200</v>
      </c>
    </row>
    <row r="107" customFormat="false" ht="14.25" hidden="false" customHeight="false" outlineLevel="0" collapsed="false">
      <c r="A107" s="1" t="s">
        <v>201</v>
      </c>
    </row>
    <row r="108" customFormat="false" ht="14.25" hidden="false" customHeight="false" outlineLevel="0" collapsed="false">
      <c r="A108" s="1" t="s">
        <v>202</v>
      </c>
    </row>
    <row r="109" customFormat="false" ht="14.25" hidden="false" customHeight="false" outlineLevel="0" collapsed="false">
      <c r="A109" s="1" t="s">
        <v>203</v>
      </c>
    </row>
    <row r="110" customFormat="false" ht="14.25" hidden="false" customHeight="false" outlineLevel="0" collapsed="false">
      <c r="A110" s="1" t="s">
        <v>204</v>
      </c>
    </row>
    <row r="111" customFormat="false" ht="14.25" hidden="false" customHeight="false" outlineLevel="0" collapsed="false">
      <c r="A111" s="1" t="s">
        <v>205</v>
      </c>
    </row>
    <row r="112" customFormat="false" ht="14.25" hidden="false" customHeight="false" outlineLevel="0" collapsed="false">
      <c r="A112" s="1" t="s">
        <v>206</v>
      </c>
    </row>
    <row r="113" customFormat="false" ht="14.25" hidden="false" customHeight="false" outlineLevel="0" collapsed="false">
      <c r="A113" s="1" t="s">
        <v>207</v>
      </c>
    </row>
    <row r="114" customFormat="false" ht="14.25" hidden="false" customHeight="false" outlineLevel="0" collapsed="false">
      <c r="A114" s="1" t="s">
        <v>208</v>
      </c>
    </row>
    <row r="115" customFormat="false" ht="14.25" hidden="false" customHeight="false" outlineLevel="0" collapsed="false">
      <c r="A115" s="1" t="s">
        <v>209</v>
      </c>
    </row>
    <row r="116" customFormat="false" ht="14.25" hidden="false" customHeight="false" outlineLevel="0" collapsed="false">
      <c r="A116" s="1" t="s">
        <v>210</v>
      </c>
    </row>
    <row r="117" customFormat="false" ht="14.25" hidden="false" customHeight="false" outlineLevel="0" collapsed="false">
      <c r="A117" s="1" t="s">
        <v>211</v>
      </c>
    </row>
    <row r="118" customFormat="false" ht="14.25" hidden="false" customHeight="false" outlineLevel="0" collapsed="false">
      <c r="A118" s="1" t="s">
        <v>212</v>
      </c>
    </row>
    <row r="119" customFormat="false" ht="14.25" hidden="false" customHeight="false" outlineLevel="0" collapsed="false">
      <c r="A119" s="1" t="s">
        <v>213</v>
      </c>
    </row>
    <row r="120" customFormat="false" ht="14.25" hidden="false" customHeight="false" outlineLevel="0" collapsed="false">
      <c r="A120" s="1" t="s">
        <v>214</v>
      </c>
    </row>
    <row r="121" customFormat="false" ht="14.25" hidden="false" customHeight="false" outlineLevel="0" collapsed="false">
      <c r="A121" s="1" t="s">
        <v>215</v>
      </c>
    </row>
    <row r="122" customFormat="false" ht="14.25" hidden="false" customHeight="false" outlineLevel="0" collapsed="false">
      <c r="A122" s="1" t="s">
        <v>216</v>
      </c>
    </row>
    <row r="123" customFormat="false" ht="14.25" hidden="false" customHeight="false" outlineLevel="0" collapsed="false">
      <c r="A123" s="1" t="s">
        <v>217</v>
      </c>
    </row>
    <row r="124" customFormat="false" ht="14.25" hidden="false" customHeight="false" outlineLevel="0" collapsed="false">
      <c r="A124" s="1" t="s">
        <v>218</v>
      </c>
    </row>
    <row r="125" customFormat="false" ht="14.25" hidden="false" customHeight="false" outlineLevel="0" collapsed="false">
      <c r="A125" s="1" t="s">
        <v>219</v>
      </c>
    </row>
    <row r="126" customFormat="false" ht="14.25" hidden="false" customHeight="false" outlineLevel="0" collapsed="false">
      <c r="A126" s="1" t="s">
        <v>220</v>
      </c>
    </row>
    <row r="127" customFormat="false" ht="14.25" hidden="false" customHeight="false" outlineLevel="0" collapsed="false">
      <c r="A127" s="1" t="s">
        <v>221</v>
      </c>
    </row>
    <row r="128" customFormat="false" ht="14.25" hidden="false" customHeight="false" outlineLevel="0" collapsed="false">
      <c r="A128" s="1" t="s">
        <v>222</v>
      </c>
    </row>
    <row r="129" customFormat="false" ht="14.25" hidden="false" customHeight="false" outlineLevel="0" collapsed="false">
      <c r="A129" s="1" t="s">
        <v>223</v>
      </c>
    </row>
    <row r="130" customFormat="false" ht="14.25" hidden="false" customHeight="false" outlineLevel="0" collapsed="false">
      <c r="A130" s="1" t="s">
        <v>224</v>
      </c>
    </row>
    <row r="131" customFormat="false" ht="14.25" hidden="false" customHeight="false" outlineLevel="0" collapsed="false">
      <c r="A131" s="1" t="s">
        <v>225</v>
      </c>
    </row>
    <row r="132" customFormat="false" ht="14.25" hidden="false" customHeight="false" outlineLevel="0" collapsed="false">
      <c r="A132" s="1" t="s">
        <v>226</v>
      </c>
    </row>
    <row r="133" customFormat="false" ht="14.25" hidden="false" customHeight="false" outlineLevel="0" collapsed="false">
      <c r="A133" s="1" t="s">
        <v>227</v>
      </c>
    </row>
    <row r="134" customFormat="false" ht="14.25" hidden="false" customHeight="false" outlineLevel="0" collapsed="false">
      <c r="A134" s="1" t="s">
        <v>228</v>
      </c>
    </row>
    <row r="135" customFormat="false" ht="14.25" hidden="false" customHeight="false" outlineLevel="0" collapsed="false">
      <c r="A135" s="1" t="s">
        <v>229</v>
      </c>
    </row>
    <row r="136" customFormat="false" ht="14.25" hidden="false" customHeight="false" outlineLevel="0" collapsed="false">
      <c r="A136" s="1" t="s">
        <v>230</v>
      </c>
    </row>
    <row r="137" customFormat="false" ht="14.25" hidden="false" customHeight="false" outlineLevel="0" collapsed="false">
      <c r="A137" s="1" t="s">
        <v>231</v>
      </c>
    </row>
    <row r="138" customFormat="false" ht="14.25" hidden="false" customHeight="false" outlineLevel="0" collapsed="false">
      <c r="A138" s="1" t="s">
        <v>232</v>
      </c>
    </row>
    <row r="139" customFormat="false" ht="14.25" hidden="false" customHeight="false" outlineLevel="0" collapsed="false">
      <c r="A139" s="1" t="s">
        <v>233</v>
      </c>
    </row>
    <row r="140" customFormat="false" ht="14.25" hidden="false" customHeight="false" outlineLevel="0" collapsed="false">
      <c r="A140" s="1" t="s">
        <v>234</v>
      </c>
    </row>
    <row r="141" customFormat="false" ht="14.25" hidden="false" customHeight="false" outlineLevel="0" collapsed="false">
      <c r="A141" s="1" t="s">
        <v>235</v>
      </c>
    </row>
    <row r="142" customFormat="false" ht="14.25" hidden="false" customHeight="false" outlineLevel="0" collapsed="false">
      <c r="A142" s="1" t="s">
        <v>236</v>
      </c>
    </row>
    <row r="143" customFormat="false" ht="14.25" hidden="false" customHeight="false" outlineLevel="0" collapsed="false">
      <c r="A143" s="1" t="s">
        <v>237</v>
      </c>
    </row>
    <row r="144" customFormat="false" ht="14.25" hidden="false" customHeight="false" outlineLevel="0" collapsed="false">
      <c r="A144" s="1" t="s">
        <v>238</v>
      </c>
    </row>
    <row r="145" customFormat="false" ht="14.25" hidden="false" customHeight="false" outlineLevel="0" collapsed="false">
      <c r="A145" s="1" t="s">
        <v>239</v>
      </c>
    </row>
    <row r="146" customFormat="false" ht="14.25" hidden="false" customHeight="false" outlineLevel="0" collapsed="false">
      <c r="A146" s="1" t="s">
        <v>240</v>
      </c>
    </row>
    <row r="147" customFormat="false" ht="14.25" hidden="false" customHeight="false" outlineLevel="0" collapsed="false">
      <c r="A147" s="1" t="s">
        <v>241</v>
      </c>
    </row>
    <row r="148" customFormat="false" ht="14.25" hidden="false" customHeight="false" outlineLevel="0" collapsed="false">
      <c r="A148" s="1" t="s">
        <v>242</v>
      </c>
    </row>
    <row r="149" customFormat="false" ht="14.25" hidden="false" customHeight="false" outlineLevel="0" collapsed="false">
      <c r="A149" s="1" t="s">
        <v>243</v>
      </c>
    </row>
    <row r="150" customFormat="false" ht="14.25" hidden="false" customHeight="false" outlineLevel="0" collapsed="false">
      <c r="A150" s="1" t="s">
        <v>244</v>
      </c>
    </row>
    <row r="151" customFormat="false" ht="14.25" hidden="false" customHeight="false" outlineLevel="0" collapsed="false">
      <c r="A151" s="1" t="s">
        <v>245</v>
      </c>
    </row>
    <row r="152" customFormat="false" ht="14.25" hidden="false" customHeight="false" outlineLevel="0" collapsed="false">
      <c r="A152" s="1" t="s">
        <v>246</v>
      </c>
    </row>
    <row r="153" customFormat="false" ht="14.25" hidden="false" customHeight="false" outlineLevel="0" collapsed="false">
      <c r="A153" s="1" t="s">
        <v>247</v>
      </c>
    </row>
    <row r="154" customFormat="false" ht="14.25" hidden="false" customHeight="false" outlineLevel="0" collapsed="false">
      <c r="A154" s="1" t="s">
        <v>248</v>
      </c>
    </row>
    <row r="155" customFormat="false" ht="14.25" hidden="false" customHeight="false" outlineLevel="0" collapsed="false">
      <c r="A155" s="1" t="s">
        <v>249</v>
      </c>
    </row>
    <row r="156" customFormat="false" ht="14.25" hidden="false" customHeight="false" outlineLevel="0" collapsed="false">
      <c r="A156" s="1" t="s">
        <v>250</v>
      </c>
    </row>
    <row r="157" customFormat="false" ht="14.25" hidden="false" customHeight="false" outlineLevel="0" collapsed="false">
      <c r="A157" s="1" t="s">
        <v>251</v>
      </c>
    </row>
    <row r="158" customFormat="false" ht="14.25" hidden="false" customHeight="false" outlineLevel="0" collapsed="false">
      <c r="A158" s="1" t="s">
        <v>252</v>
      </c>
    </row>
    <row r="159" customFormat="false" ht="14.25" hidden="false" customHeight="false" outlineLevel="0" collapsed="false">
      <c r="A159" s="1" t="s">
        <v>253</v>
      </c>
    </row>
    <row r="160" customFormat="false" ht="14.25" hidden="false" customHeight="false" outlineLevel="0" collapsed="false">
      <c r="A160" s="1" t="s">
        <v>254</v>
      </c>
    </row>
    <row r="161" customFormat="false" ht="14.25" hidden="false" customHeight="false" outlineLevel="0" collapsed="false">
      <c r="A161" s="1" t="s">
        <v>255</v>
      </c>
    </row>
    <row r="162" customFormat="false" ht="14.25" hidden="false" customHeight="false" outlineLevel="0" collapsed="false">
      <c r="A162" s="1" t="s">
        <v>256</v>
      </c>
    </row>
    <row r="163" customFormat="false" ht="14.25" hidden="false" customHeight="false" outlineLevel="0" collapsed="false">
      <c r="A163" s="1" t="s">
        <v>257</v>
      </c>
    </row>
    <row r="164" customFormat="false" ht="14.25" hidden="false" customHeight="false" outlineLevel="0" collapsed="false">
      <c r="A164" s="1" t="s">
        <v>258</v>
      </c>
    </row>
    <row r="165" customFormat="false" ht="14.25" hidden="false" customHeight="false" outlineLevel="0" collapsed="false">
      <c r="A165" s="1" t="s">
        <v>259</v>
      </c>
    </row>
    <row r="166" customFormat="false" ht="14.25" hidden="false" customHeight="false" outlineLevel="0" collapsed="false">
      <c r="A166" s="1" t="s">
        <v>260</v>
      </c>
    </row>
    <row r="167" customFormat="false" ht="14.25" hidden="false" customHeight="false" outlineLevel="0" collapsed="false">
      <c r="A167" s="1" t="s">
        <v>261</v>
      </c>
    </row>
    <row r="168" customFormat="false" ht="14.25" hidden="false" customHeight="false" outlineLevel="0" collapsed="false">
      <c r="A168" s="1" t="s">
        <v>262</v>
      </c>
    </row>
    <row r="169" customFormat="false" ht="14.25" hidden="false" customHeight="false" outlineLevel="0" collapsed="false">
      <c r="A169" s="1" t="s">
        <v>263</v>
      </c>
    </row>
    <row r="170" customFormat="false" ht="14.25" hidden="false" customHeight="false" outlineLevel="0" collapsed="false">
      <c r="A170" s="1" t="s">
        <v>264</v>
      </c>
    </row>
    <row r="171" customFormat="false" ht="14.25" hidden="false" customHeight="false" outlineLevel="0" collapsed="false">
      <c r="A171" s="1" t="s">
        <v>265</v>
      </c>
    </row>
    <row r="172" customFormat="false" ht="14.25" hidden="false" customHeight="false" outlineLevel="0" collapsed="false">
      <c r="A172" s="1" t="s">
        <v>266</v>
      </c>
    </row>
    <row r="173" customFormat="false" ht="14.25" hidden="false" customHeight="false" outlineLevel="0" collapsed="false">
      <c r="A173" s="1" t="s">
        <v>267</v>
      </c>
    </row>
    <row r="174" customFormat="false" ht="14.25" hidden="false" customHeight="false" outlineLevel="0" collapsed="false">
      <c r="A174" s="1" t="s">
        <v>268</v>
      </c>
    </row>
    <row r="175" customFormat="false" ht="14.25" hidden="false" customHeight="false" outlineLevel="0" collapsed="false">
      <c r="A175" s="1" t="s">
        <v>269</v>
      </c>
    </row>
    <row r="176" customFormat="false" ht="14.25" hidden="false" customHeight="false" outlineLevel="0" collapsed="false">
      <c r="A176" s="1" t="s">
        <v>270</v>
      </c>
    </row>
    <row r="177" customFormat="false" ht="14.25" hidden="false" customHeight="false" outlineLevel="0" collapsed="false">
      <c r="A177" s="1" t="s">
        <v>271</v>
      </c>
    </row>
    <row r="178" customFormat="false" ht="14.25" hidden="false" customHeight="false" outlineLevel="0" collapsed="false">
      <c r="A178" s="1" t="s">
        <v>272</v>
      </c>
    </row>
    <row r="179" customFormat="false" ht="14.25" hidden="false" customHeight="false" outlineLevel="0" collapsed="false">
      <c r="A179" s="1" t="s">
        <v>273</v>
      </c>
    </row>
    <row r="180" customFormat="false" ht="14.25" hidden="false" customHeight="false" outlineLevel="0" collapsed="false">
      <c r="A180" s="1" t="s">
        <v>274</v>
      </c>
    </row>
    <row r="181" customFormat="false" ht="14.25" hidden="false" customHeight="false" outlineLevel="0" collapsed="false">
      <c r="A181" s="1" t="s">
        <v>275</v>
      </c>
    </row>
    <row r="182" customFormat="false" ht="14.25" hidden="false" customHeight="false" outlineLevel="0" collapsed="false">
      <c r="A182" s="1" t="s">
        <v>276</v>
      </c>
    </row>
    <row r="183" customFormat="false" ht="14.25" hidden="false" customHeight="false" outlineLevel="0" collapsed="false">
      <c r="A183" s="1" t="s">
        <v>277</v>
      </c>
    </row>
    <row r="184" customFormat="false" ht="14.25" hidden="false" customHeight="false" outlineLevel="0" collapsed="false">
      <c r="A184" s="1" t="s">
        <v>278</v>
      </c>
    </row>
    <row r="185" customFormat="false" ht="14.25" hidden="false" customHeight="false" outlineLevel="0" collapsed="false">
      <c r="A185" s="1" t="s">
        <v>279</v>
      </c>
    </row>
    <row r="186" customFormat="false" ht="14.25" hidden="false" customHeight="false" outlineLevel="0" collapsed="false">
      <c r="A186" s="1" t="s">
        <v>280</v>
      </c>
    </row>
    <row r="187" customFormat="false" ht="14.25" hidden="false" customHeight="false" outlineLevel="0" collapsed="false">
      <c r="A187" s="1" t="s">
        <v>281</v>
      </c>
    </row>
    <row r="188" customFormat="false" ht="14.25" hidden="false" customHeight="false" outlineLevel="0" collapsed="false">
      <c r="A188" s="1" t="s">
        <v>282</v>
      </c>
    </row>
    <row r="189" customFormat="false" ht="14.25" hidden="false" customHeight="false" outlineLevel="0" collapsed="false">
      <c r="A189" s="2" t="s">
        <v>283</v>
      </c>
    </row>
    <row r="190" customFormat="false" ht="14.25" hidden="false" customHeight="false" outlineLevel="0" collapsed="false">
      <c r="A190" s="1" t="s">
        <v>284</v>
      </c>
    </row>
    <row r="191" customFormat="false" ht="14.25" hidden="false" customHeight="false" outlineLevel="0" collapsed="false">
      <c r="A191" s="1" t="s">
        <v>285</v>
      </c>
    </row>
    <row r="192" customFormat="false" ht="14.25" hidden="false" customHeight="false" outlineLevel="0" collapsed="false">
      <c r="A192" s="1" t="s">
        <v>286</v>
      </c>
    </row>
    <row r="193" customFormat="false" ht="14.25" hidden="false" customHeight="false" outlineLevel="0" collapsed="false">
      <c r="A193" s="1" t="s">
        <v>287</v>
      </c>
    </row>
    <row r="194" customFormat="false" ht="14.25" hidden="false" customHeight="false" outlineLevel="0" collapsed="false">
      <c r="A194" s="1" t="s">
        <v>288</v>
      </c>
    </row>
    <row r="195" customFormat="false" ht="14.25" hidden="false" customHeight="false" outlineLevel="0" collapsed="false">
      <c r="A195" s="1" t="s">
        <v>289</v>
      </c>
    </row>
    <row r="196" customFormat="false" ht="14.25" hidden="false" customHeight="false" outlineLevel="0" collapsed="false">
      <c r="A196" s="1" t="s">
        <v>290</v>
      </c>
    </row>
    <row r="197" customFormat="false" ht="14.25" hidden="false" customHeight="false" outlineLevel="0" collapsed="false">
      <c r="A197" s="1" t="s">
        <v>291</v>
      </c>
    </row>
    <row r="198" customFormat="false" ht="14.25" hidden="false" customHeight="false" outlineLevel="0" collapsed="false">
      <c r="A198" s="1" t="s">
        <v>292</v>
      </c>
    </row>
    <row r="199" customFormat="false" ht="14.25" hidden="false" customHeight="false" outlineLevel="0" collapsed="false">
      <c r="A199" s="1" t="s">
        <v>293</v>
      </c>
    </row>
    <row r="200" customFormat="false" ht="14.25" hidden="false" customHeight="false" outlineLevel="0" collapsed="false">
      <c r="A200" s="1" t="s">
        <v>294</v>
      </c>
    </row>
    <row r="201" customFormat="false" ht="14.25" hidden="false" customHeight="false" outlineLevel="0" collapsed="false">
      <c r="A201" s="1" t="s">
        <v>295</v>
      </c>
    </row>
    <row r="202" customFormat="false" ht="14.25" hidden="false" customHeight="false" outlineLevel="0" collapsed="false">
      <c r="A202" s="1" t="s">
        <v>296</v>
      </c>
    </row>
    <row r="203" customFormat="false" ht="14.25" hidden="false" customHeight="false" outlineLevel="0" collapsed="false">
      <c r="A203" s="1" t="s">
        <v>297</v>
      </c>
    </row>
    <row r="204" customFormat="false" ht="14.25" hidden="false" customHeight="false" outlineLevel="0" collapsed="false">
      <c r="A204" s="1" t="s">
        <v>298</v>
      </c>
    </row>
    <row r="205" customFormat="false" ht="14.25" hidden="false" customHeight="false" outlineLevel="0" collapsed="false">
      <c r="A205" s="1" t="s">
        <v>299</v>
      </c>
    </row>
    <row r="206" customFormat="false" ht="14.25" hidden="false" customHeight="false" outlineLevel="0" collapsed="false">
      <c r="A206" s="1" t="s">
        <v>300</v>
      </c>
    </row>
    <row r="207" customFormat="false" ht="14.25" hidden="false" customHeight="false" outlineLevel="0" collapsed="false">
      <c r="A207" s="1" t="s">
        <v>301</v>
      </c>
    </row>
    <row r="208" customFormat="false" ht="14.25" hidden="false" customHeight="false" outlineLevel="0" collapsed="false">
      <c r="A208" s="1" t="s">
        <v>302</v>
      </c>
    </row>
    <row r="209" customFormat="false" ht="14.25" hidden="false" customHeight="false" outlineLevel="0" collapsed="false">
      <c r="A209" s="1" t="s">
        <v>303</v>
      </c>
    </row>
    <row r="210" customFormat="false" ht="14.25" hidden="false" customHeight="false" outlineLevel="0" collapsed="false">
      <c r="A210" s="1" t="s">
        <v>304</v>
      </c>
    </row>
    <row r="211" customFormat="false" ht="14.25" hidden="false" customHeight="false" outlineLevel="0" collapsed="false">
      <c r="A211" s="1" t="s">
        <v>305</v>
      </c>
    </row>
    <row r="212" customFormat="false" ht="14.25" hidden="false" customHeight="false" outlineLevel="0" collapsed="false">
      <c r="A212" s="1" t="s">
        <v>306</v>
      </c>
    </row>
    <row r="213" customFormat="false" ht="14.25" hidden="false" customHeight="false" outlineLevel="0" collapsed="false">
      <c r="A213" s="1" t="s">
        <v>307</v>
      </c>
    </row>
    <row r="214" customFormat="false" ht="14.25" hidden="false" customHeight="false" outlineLevel="0" collapsed="false">
      <c r="A214" s="1" t="s">
        <v>308</v>
      </c>
    </row>
    <row r="215" customFormat="false" ht="14.25" hidden="false" customHeight="false" outlineLevel="0" collapsed="false">
      <c r="A215" s="1" t="s">
        <v>309</v>
      </c>
    </row>
    <row r="216" customFormat="false" ht="14.25" hidden="false" customHeight="false" outlineLevel="0" collapsed="false">
      <c r="A216" s="1" t="s">
        <v>310</v>
      </c>
    </row>
    <row r="217" customFormat="false" ht="14.25" hidden="false" customHeight="false" outlineLevel="0" collapsed="false">
      <c r="A217" s="1" t="s">
        <v>311</v>
      </c>
    </row>
    <row r="218" customFormat="false" ht="14.25" hidden="false" customHeight="false" outlineLevel="0" collapsed="false">
      <c r="A218" s="1" t="s">
        <v>312</v>
      </c>
    </row>
    <row r="219" customFormat="false" ht="14.25" hidden="false" customHeight="false" outlineLevel="0" collapsed="false">
      <c r="A219" s="1" t="s">
        <v>313</v>
      </c>
    </row>
    <row r="220" customFormat="false" ht="14.25" hidden="false" customHeight="false" outlineLevel="0" collapsed="false">
      <c r="A220" s="1" t="s">
        <v>314</v>
      </c>
    </row>
    <row r="221" customFormat="false" ht="14.25" hidden="false" customHeight="false" outlineLevel="0" collapsed="false">
      <c r="A221" s="1" t="s">
        <v>315</v>
      </c>
    </row>
    <row r="222" customFormat="false" ht="14.25" hidden="false" customHeight="false" outlineLevel="0" collapsed="false">
      <c r="A222" s="1" t="s">
        <v>316</v>
      </c>
    </row>
    <row r="223" customFormat="false" ht="14.25" hidden="false" customHeight="false" outlineLevel="0" collapsed="false">
      <c r="A223" s="1" t="s">
        <v>317</v>
      </c>
    </row>
    <row r="224" customFormat="false" ht="14.25" hidden="false" customHeight="false" outlineLevel="0" collapsed="false">
      <c r="A224" s="1" t="s">
        <v>318</v>
      </c>
    </row>
    <row r="225" customFormat="false" ht="14.25" hidden="false" customHeight="false" outlineLevel="0" collapsed="false">
      <c r="A225" s="1" t="s">
        <v>319</v>
      </c>
    </row>
    <row r="226" customFormat="false" ht="14.25" hidden="false" customHeight="false" outlineLevel="0" collapsed="false">
      <c r="A226" s="1" t="s">
        <v>320</v>
      </c>
    </row>
    <row r="227" customFormat="false" ht="14.25" hidden="false" customHeight="false" outlineLevel="0" collapsed="false">
      <c r="A227" s="1" t="s">
        <v>321</v>
      </c>
    </row>
    <row r="228" customFormat="false" ht="14.25" hidden="false" customHeight="false" outlineLevel="0" collapsed="false">
      <c r="A228" s="1" t="s">
        <v>322</v>
      </c>
    </row>
    <row r="229" customFormat="false" ht="14.25" hidden="false" customHeight="false" outlineLevel="0" collapsed="false">
      <c r="A229" s="1" t="s">
        <v>323</v>
      </c>
    </row>
    <row r="230" customFormat="false" ht="14.25" hidden="false" customHeight="false" outlineLevel="0" collapsed="false">
      <c r="A230" s="1" t="s">
        <v>324</v>
      </c>
    </row>
    <row r="231" customFormat="false" ht="14.25" hidden="false" customHeight="false" outlineLevel="0" collapsed="false">
      <c r="A231" s="1" t="s">
        <v>325</v>
      </c>
    </row>
    <row r="232" customFormat="false" ht="14.25" hidden="false" customHeight="false" outlineLevel="0" collapsed="false">
      <c r="A232" s="1" t="s">
        <v>326</v>
      </c>
    </row>
    <row r="233" customFormat="false" ht="14.25" hidden="false" customHeight="false" outlineLevel="0" collapsed="false">
      <c r="A233" s="1" t="s">
        <v>327</v>
      </c>
    </row>
    <row r="234" customFormat="false" ht="14.25" hidden="false" customHeight="false" outlineLevel="0" collapsed="false">
      <c r="A234" s="1" t="s">
        <v>328</v>
      </c>
    </row>
    <row r="235" customFormat="false" ht="14.25" hidden="false" customHeight="false" outlineLevel="0" collapsed="false">
      <c r="A235" s="1" t="s">
        <v>329</v>
      </c>
    </row>
    <row r="236" customFormat="false" ht="14.25" hidden="false" customHeight="false" outlineLevel="0" collapsed="false">
      <c r="A236" s="1" t="s">
        <v>330</v>
      </c>
    </row>
    <row r="237" customFormat="false" ht="14.25" hidden="false" customHeight="false" outlineLevel="0" collapsed="false">
      <c r="A237" s="1" t="s">
        <v>331</v>
      </c>
    </row>
    <row r="238" customFormat="false" ht="14.25" hidden="false" customHeight="false" outlineLevel="0" collapsed="false">
      <c r="A238" s="1" t="s">
        <v>332</v>
      </c>
    </row>
    <row r="239" customFormat="false" ht="14.25" hidden="false" customHeight="false" outlineLevel="0" collapsed="false">
      <c r="A239" s="1" t="s">
        <v>333</v>
      </c>
    </row>
    <row r="240" customFormat="false" ht="14.25" hidden="false" customHeight="false" outlineLevel="0" collapsed="false">
      <c r="A240" s="1" t="s">
        <v>334</v>
      </c>
    </row>
    <row r="241" customFormat="false" ht="14.25" hidden="false" customHeight="false" outlineLevel="0" collapsed="false">
      <c r="A241" s="1" t="s">
        <v>335</v>
      </c>
    </row>
    <row r="242" customFormat="false" ht="14.25" hidden="false" customHeight="false" outlineLevel="0" collapsed="false">
      <c r="A242" s="1" t="s">
        <v>336</v>
      </c>
    </row>
    <row r="243" customFormat="false" ht="14.25" hidden="false" customHeight="false" outlineLevel="0" collapsed="false">
      <c r="A243" s="1" t="s">
        <v>337</v>
      </c>
    </row>
    <row r="244" customFormat="false" ht="14.25" hidden="false" customHeight="false" outlineLevel="0" collapsed="false">
      <c r="A244" s="1" t="s">
        <v>338</v>
      </c>
    </row>
    <row r="245" customFormat="false" ht="14.25" hidden="false" customHeight="false" outlineLevel="0" collapsed="false">
      <c r="A245" s="1" t="s">
        <v>339</v>
      </c>
    </row>
    <row r="246" customFormat="false" ht="14.25" hidden="false" customHeight="false" outlineLevel="0" collapsed="false">
      <c r="A246" s="1" t="s">
        <v>340</v>
      </c>
    </row>
    <row r="247" customFormat="false" ht="14.25" hidden="false" customHeight="false" outlineLevel="0" collapsed="false">
      <c r="A247" s="1" t="s">
        <v>341</v>
      </c>
    </row>
    <row r="248" customFormat="false" ht="14.25" hidden="false" customHeight="false" outlineLevel="0" collapsed="false">
      <c r="A248" s="1" t="s">
        <v>342</v>
      </c>
    </row>
    <row r="249" customFormat="false" ht="14.25" hidden="false" customHeight="false" outlineLevel="0" collapsed="false">
      <c r="A249" s="1" t="s">
        <v>343</v>
      </c>
    </row>
    <row r="250" customFormat="false" ht="14.25" hidden="false" customHeight="false" outlineLevel="0" collapsed="false">
      <c r="A250" s="1" t="s">
        <v>344</v>
      </c>
    </row>
    <row r="251" customFormat="false" ht="14.25" hidden="false" customHeight="false" outlineLevel="0" collapsed="false">
      <c r="A251" s="1" t="s">
        <v>345</v>
      </c>
    </row>
    <row r="252" customFormat="false" ht="14.25" hidden="false" customHeight="false" outlineLevel="0" collapsed="false">
      <c r="A252" s="1" t="s">
        <v>346</v>
      </c>
    </row>
    <row r="253" customFormat="false" ht="14.25" hidden="false" customHeight="false" outlineLevel="0" collapsed="false">
      <c r="A253" s="1" t="s">
        <v>347</v>
      </c>
    </row>
    <row r="254" customFormat="false" ht="14.25" hidden="false" customHeight="false" outlineLevel="0" collapsed="false">
      <c r="A254" s="1" t="s">
        <v>348</v>
      </c>
    </row>
    <row r="255" customFormat="false" ht="14.25" hidden="false" customHeight="false" outlineLevel="0" collapsed="false">
      <c r="A255" s="1" t="s">
        <v>349</v>
      </c>
    </row>
    <row r="256" customFormat="false" ht="14.25" hidden="false" customHeight="false" outlineLevel="0" collapsed="false">
      <c r="A256" s="1" t="s">
        <v>350</v>
      </c>
    </row>
    <row r="257" customFormat="false" ht="14.25" hidden="false" customHeight="false" outlineLevel="0" collapsed="false">
      <c r="A257" s="1" t="s">
        <v>351</v>
      </c>
    </row>
    <row r="258" customFormat="false" ht="14.25" hidden="false" customHeight="false" outlineLevel="0" collapsed="false">
      <c r="A258" s="1" t="s">
        <v>352</v>
      </c>
    </row>
    <row r="259" customFormat="false" ht="14.25" hidden="false" customHeight="false" outlineLevel="0" collapsed="false">
      <c r="A259" s="1" t="s">
        <v>353</v>
      </c>
    </row>
    <row r="260" customFormat="false" ht="14.25" hidden="false" customHeight="false" outlineLevel="0" collapsed="false">
      <c r="A260" s="1" t="s">
        <v>354</v>
      </c>
    </row>
    <row r="261" customFormat="false" ht="14.25" hidden="false" customHeight="false" outlineLevel="0" collapsed="false">
      <c r="A261" s="1" t="s">
        <v>355</v>
      </c>
    </row>
    <row r="262" customFormat="false" ht="14.25" hidden="false" customHeight="false" outlineLevel="0" collapsed="false">
      <c r="A262" s="1" t="s">
        <v>356</v>
      </c>
    </row>
    <row r="263" customFormat="false" ht="14.25" hidden="false" customHeight="false" outlineLevel="0" collapsed="false">
      <c r="A263" s="1" t="s">
        <v>357</v>
      </c>
    </row>
    <row r="264" customFormat="false" ht="14.25" hidden="false" customHeight="false" outlineLevel="0" collapsed="false">
      <c r="A264" s="1" t="s">
        <v>358</v>
      </c>
    </row>
    <row r="265" customFormat="false" ht="14.25" hidden="false" customHeight="false" outlineLevel="0" collapsed="false">
      <c r="A265" s="1" t="s">
        <v>359</v>
      </c>
    </row>
    <row r="266" customFormat="false" ht="14.25" hidden="false" customHeight="false" outlineLevel="0" collapsed="false">
      <c r="A266" s="1" t="s">
        <v>360</v>
      </c>
    </row>
    <row r="267" customFormat="false" ht="14.25" hidden="false" customHeight="false" outlineLevel="0" collapsed="false">
      <c r="A267" s="1" t="s">
        <v>361</v>
      </c>
    </row>
    <row r="268" customFormat="false" ht="14.25" hidden="false" customHeight="false" outlineLevel="0" collapsed="false">
      <c r="A268" s="1" t="s">
        <v>362</v>
      </c>
    </row>
    <row r="269" customFormat="false" ht="14.25" hidden="false" customHeight="false" outlineLevel="0" collapsed="false">
      <c r="A269" s="1" t="s">
        <v>363</v>
      </c>
    </row>
    <row r="270" customFormat="false" ht="14.25" hidden="false" customHeight="false" outlineLevel="0" collapsed="false">
      <c r="A270" s="1" t="s">
        <v>364</v>
      </c>
    </row>
    <row r="271" customFormat="false" ht="14.25" hidden="false" customHeight="false" outlineLevel="0" collapsed="false">
      <c r="A271" s="1" t="s">
        <v>365</v>
      </c>
    </row>
    <row r="272" customFormat="false" ht="14.25" hidden="false" customHeight="false" outlineLevel="0" collapsed="false">
      <c r="A272" s="1" t="s">
        <v>366</v>
      </c>
    </row>
    <row r="273" customFormat="false" ht="14.25" hidden="false" customHeight="false" outlineLevel="0" collapsed="false">
      <c r="A273" s="1" t="s">
        <v>367</v>
      </c>
    </row>
    <row r="274" customFormat="false" ht="14.25" hidden="false" customHeight="false" outlineLevel="0" collapsed="false">
      <c r="A274" s="1" t="s">
        <v>368</v>
      </c>
    </row>
    <row r="275" customFormat="false" ht="14.25" hidden="false" customHeight="false" outlineLevel="0" collapsed="false">
      <c r="A275" s="1" t="s">
        <v>369</v>
      </c>
    </row>
    <row r="276" customFormat="false" ht="14.25" hidden="false" customHeight="false" outlineLevel="0" collapsed="false">
      <c r="A276" s="1" t="s">
        <v>370</v>
      </c>
    </row>
    <row r="277" customFormat="false" ht="14.25" hidden="false" customHeight="false" outlineLevel="0" collapsed="false">
      <c r="A277" s="1" t="s">
        <v>371</v>
      </c>
    </row>
    <row r="278" customFormat="false" ht="14.25" hidden="false" customHeight="false" outlineLevel="0" collapsed="false">
      <c r="A278" s="1" t="s">
        <v>372</v>
      </c>
    </row>
    <row r="279" customFormat="false" ht="14.25" hidden="false" customHeight="false" outlineLevel="0" collapsed="false">
      <c r="A279" s="1" t="s">
        <v>373</v>
      </c>
    </row>
    <row r="280" customFormat="false" ht="14.25" hidden="false" customHeight="false" outlineLevel="0" collapsed="false">
      <c r="A280" s="1" t="s">
        <v>374</v>
      </c>
    </row>
    <row r="281" customFormat="false" ht="14.25" hidden="false" customHeight="false" outlineLevel="0" collapsed="false">
      <c r="A281" s="1" t="s">
        <v>375</v>
      </c>
    </row>
    <row r="282" customFormat="false" ht="14.25" hidden="false" customHeight="false" outlineLevel="0" collapsed="false">
      <c r="A282" s="1" t="s">
        <v>376</v>
      </c>
    </row>
    <row r="283" customFormat="false" ht="14.25" hidden="false" customHeight="false" outlineLevel="0" collapsed="false">
      <c r="A283" s="1" t="s">
        <v>377</v>
      </c>
    </row>
    <row r="284" customFormat="false" ht="14.25" hidden="false" customHeight="false" outlineLevel="0" collapsed="false">
      <c r="A284" s="1" t="s">
        <v>378</v>
      </c>
    </row>
    <row r="285" customFormat="false" ht="14.25" hidden="false" customHeight="false" outlineLevel="0" collapsed="false">
      <c r="A285" s="1" t="s">
        <v>379</v>
      </c>
    </row>
    <row r="286" customFormat="false" ht="14.25" hidden="false" customHeight="false" outlineLevel="0" collapsed="false">
      <c r="A286" s="1" t="s">
        <v>380</v>
      </c>
    </row>
    <row r="287" customFormat="false" ht="14.25" hidden="false" customHeight="false" outlineLevel="0" collapsed="false">
      <c r="A287" s="1" t="s">
        <v>381</v>
      </c>
    </row>
    <row r="288" customFormat="false" ht="14.25" hidden="false" customHeight="false" outlineLevel="0" collapsed="false">
      <c r="A288" s="1" t="s">
        <v>382</v>
      </c>
    </row>
    <row r="289" customFormat="false" ht="14.25" hidden="false" customHeight="false" outlineLevel="0" collapsed="false">
      <c r="A289" s="1" t="s">
        <v>383</v>
      </c>
    </row>
    <row r="290" customFormat="false" ht="14.25" hidden="false" customHeight="false" outlineLevel="0" collapsed="false">
      <c r="A290" s="1" t="s">
        <v>384</v>
      </c>
    </row>
    <row r="291" customFormat="false" ht="14.25" hidden="false" customHeight="false" outlineLevel="0" collapsed="false">
      <c r="A291" s="1" t="s">
        <v>385</v>
      </c>
    </row>
    <row r="292" customFormat="false" ht="14.25" hidden="false" customHeight="false" outlineLevel="0" collapsed="false">
      <c r="A292" s="1" t="s">
        <v>386</v>
      </c>
    </row>
    <row r="293" customFormat="false" ht="14.25" hidden="false" customHeight="false" outlineLevel="0" collapsed="false">
      <c r="A293" s="1" t="s">
        <v>387</v>
      </c>
    </row>
    <row r="294" customFormat="false" ht="14.25" hidden="false" customHeight="false" outlineLevel="0" collapsed="false">
      <c r="A294" s="1" t="s">
        <v>388</v>
      </c>
    </row>
    <row r="295" customFormat="false" ht="14.25" hidden="false" customHeight="false" outlineLevel="0" collapsed="false">
      <c r="A295" s="1" t="s">
        <v>389</v>
      </c>
    </row>
    <row r="296" customFormat="false" ht="14.25" hidden="false" customHeight="false" outlineLevel="0" collapsed="false">
      <c r="A296" s="1" t="s">
        <v>390</v>
      </c>
    </row>
    <row r="297" customFormat="false" ht="14.25" hidden="false" customHeight="false" outlineLevel="0" collapsed="false">
      <c r="A297" s="1" t="s">
        <v>391</v>
      </c>
    </row>
    <row r="298" customFormat="false" ht="14.25" hidden="false" customHeight="false" outlineLevel="0" collapsed="false">
      <c r="A298" s="1" t="s">
        <v>392</v>
      </c>
    </row>
    <row r="299" customFormat="false" ht="14.25" hidden="false" customHeight="false" outlineLevel="0" collapsed="false">
      <c r="A299" s="1" t="s">
        <v>393</v>
      </c>
    </row>
    <row r="300" customFormat="false" ht="14.25" hidden="false" customHeight="false" outlineLevel="0" collapsed="false">
      <c r="A300" s="1" t="s">
        <v>394</v>
      </c>
    </row>
    <row r="301" customFormat="false" ht="14.25" hidden="false" customHeight="false" outlineLevel="0" collapsed="false">
      <c r="A301" s="1" t="s">
        <v>395</v>
      </c>
    </row>
    <row r="302" customFormat="false" ht="14.25" hidden="false" customHeight="false" outlineLevel="0" collapsed="false">
      <c r="A302" s="1" t="s">
        <v>396</v>
      </c>
    </row>
    <row r="303" customFormat="false" ht="14.25" hidden="false" customHeight="false" outlineLevel="0" collapsed="false">
      <c r="A303" s="1" t="s">
        <v>397</v>
      </c>
    </row>
    <row r="304" customFormat="false" ht="14.25" hidden="false" customHeight="false" outlineLevel="0" collapsed="false">
      <c r="A304" s="1" t="s">
        <v>398</v>
      </c>
    </row>
    <row r="305" customFormat="false" ht="14.25" hidden="false" customHeight="false" outlineLevel="0" collapsed="false">
      <c r="A305" s="1" t="s">
        <v>399</v>
      </c>
    </row>
    <row r="306" customFormat="false" ht="14.25" hidden="false" customHeight="false" outlineLevel="0" collapsed="false">
      <c r="A306" s="1" t="s">
        <v>400</v>
      </c>
    </row>
    <row r="307" customFormat="false" ht="14.25" hidden="false" customHeight="false" outlineLevel="0" collapsed="false">
      <c r="A307" s="1" t="s">
        <v>401</v>
      </c>
    </row>
    <row r="308" customFormat="false" ht="14.25" hidden="false" customHeight="false" outlineLevel="0" collapsed="false">
      <c r="A308" s="1" t="s">
        <v>402</v>
      </c>
    </row>
    <row r="309" customFormat="false" ht="14.25" hidden="false" customHeight="false" outlineLevel="0" collapsed="false">
      <c r="A309" s="1" t="s">
        <v>403</v>
      </c>
    </row>
    <row r="310" customFormat="false" ht="14.25" hidden="false" customHeight="false" outlineLevel="0" collapsed="false">
      <c r="A310" s="1" t="s">
        <v>404</v>
      </c>
    </row>
    <row r="311" customFormat="false" ht="14.25" hidden="false" customHeight="false" outlineLevel="0" collapsed="false">
      <c r="A311" s="1" t="s">
        <v>405</v>
      </c>
    </row>
    <row r="312" customFormat="false" ht="14.25" hidden="false" customHeight="false" outlineLevel="0" collapsed="false">
      <c r="A312" s="1" t="s">
        <v>406</v>
      </c>
    </row>
    <row r="313" customFormat="false" ht="14.25" hidden="false" customHeight="false" outlineLevel="0" collapsed="false">
      <c r="A313" s="1" t="s">
        <v>407</v>
      </c>
    </row>
    <row r="314" customFormat="false" ht="14.25" hidden="false" customHeight="false" outlineLevel="0" collapsed="false">
      <c r="A314" s="1" t="s">
        <v>408</v>
      </c>
    </row>
    <row r="315" customFormat="false" ht="14.25" hidden="false" customHeight="false" outlineLevel="0" collapsed="false">
      <c r="A315" s="1" t="s">
        <v>409</v>
      </c>
    </row>
    <row r="316" customFormat="false" ht="14.25" hidden="false" customHeight="false" outlineLevel="0" collapsed="false">
      <c r="A316" s="1" t="s">
        <v>410</v>
      </c>
    </row>
    <row r="317" customFormat="false" ht="14.25" hidden="false" customHeight="false" outlineLevel="0" collapsed="false">
      <c r="A317" s="1" t="s">
        <v>411</v>
      </c>
    </row>
    <row r="318" customFormat="false" ht="14.25" hidden="false" customHeight="false" outlineLevel="0" collapsed="false">
      <c r="A318" s="1" t="s">
        <v>412</v>
      </c>
    </row>
    <row r="319" customFormat="false" ht="14.25" hidden="false" customHeight="false" outlineLevel="0" collapsed="false">
      <c r="A319" s="1" t="s">
        <v>413</v>
      </c>
    </row>
    <row r="320" customFormat="false" ht="14.25" hidden="false" customHeight="false" outlineLevel="0" collapsed="false">
      <c r="A320" s="1" t="s">
        <v>414</v>
      </c>
    </row>
    <row r="321" customFormat="false" ht="14.25" hidden="false" customHeight="false" outlineLevel="0" collapsed="false">
      <c r="A321" s="1" t="s">
        <v>415</v>
      </c>
    </row>
    <row r="322" customFormat="false" ht="14.25" hidden="false" customHeight="false" outlineLevel="0" collapsed="false">
      <c r="A322" s="1" t="s">
        <v>416</v>
      </c>
    </row>
    <row r="323" customFormat="false" ht="14.25" hidden="false" customHeight="false" outlineLevel="0" collapsed="false">
      <c r="A323" s="1" t="s">
        <v>417</v>
      </c>
    </row>
    <row r="324" customFormat="false" ht="14.25" hidden="false" customHeight="false" outlineLevel="0" collapsed="false">
      <c r="A324" s="1" t="s">
        <v>418</v>
      </c>
    </row>
    <row r="325" customFormat="false" ht="14.25" hidden="false" customHeight="false" outlineLevel="0" collapsed="false">
      <c r="A325" s="1" t="s">
        <v>419</v>
      </c>
    </row>
    <row r="326" customFormat="false" ht="14.25" hidden="false" customHeight="false" outlineLevel="0" collapsed="false">
      <c r="A326" s="1" t="s">
        <v>420</v>
      </c>
    </row>
    <row r="327" customFormat="false" ht="14.25" hidden="false" customHeight="false" outlineLevel="0" collapsed="false">
      <c r="A327" s="1" t="s">
        <v>421</v>
      </c>
    </row>
    <row r="328" customFormat="false" ht="14.25" hidden="false" customHeight="false" outlineLevel="0" collapsed="false">
      <c r="A328" s="1" t="s">
        <v>422</v>
      </c>
    </row>
    <row r="329" customFormat="false" ht="14.25" hidden="false" customHeight="false" outlineLevel="0" collapsed="false">
      <c r="A329" s="1" t="s">
        <v>423</v>
      </c>
    </row>
    <row r="330" customFormat="false" ht="14.25" hidden="false" customHeight="false" outlineLevel="0" collapsed="false">
      <c r="A330" s="1" t="s">
        <v>424</v>
      </c>
    </row>
    <row r="331" customFormat="false" ht="14.25" hidden="false" customHeight="false" outlineLevel="0" collapsed="false">
      <c r="A331" s="1" t="s">
        <v>425</v>
      </c>
    </row>
    <row r="332" customFormat="false" ht="14.25" hidden="false" customHeight="false" outlineLevel="0" collapsed="false">
      <c r="A332" s="1" t="s">
        <v>426</v>
      </c>
    </row>
    <row r="333" customFormat="false" ht="14.25" hidden="false" customHeight="false" outlineLevel="0" collapsed="false">
      <c r="A333" s="1" t="s">
        <v>427</v>
      </c>
    </row>
    <row r="334" customFormat="false" ht="14.25" hidden="false" customHeight="false" outlineLevel="0" collapsed="false">
      <c r="A334" s="1" t="s">
        <v>428</v>
      </c>
    </row>
    <row r="335" customFormat="false" ht="14.25" hidden="false" customHeight="false" outlineLevel="0" collapsed="false">
      <c r="A335" s="1" t="s">
        <v>429</v>
      </c>
    </row>
    <row r="336" customFormat="false" ht="14.25" hidden="false" customHeight="false" outlineLevel="0" collapsed="false">
      <c r="A336" s="1" t="s">
        <v>430</v>
      </c>
    </row>
    <row r="337" customFormat="false" ht="14.25" hidden="false" customHeight="false" outlineLevel="0" collapsed="false">
      <c r="A337" s="1" t="s">
        <v>431</v>
      </c>
    </row>
    <row r="338" customFormat="false" ht="14.25" hidden="false" customHeight="false" outlineLevel="0" collapsed="false">
      <c r="A338" s="1" t="s">
        <v>432</v>
      </c>
    </row>
    <row r="339" customFormat="false" ht="14.25" hidden="false" customHeight="false" outlineLevel="0" collapsed="false">
      <c r="A339" s="1" t="s">
        <v>433</v>
      </c>
    </row>
    <row r="340" customFormat="false" ht="14.25" hidden="false" customHeight="false" outlineLevel="0" collapsed="false">
      <c r="A340" s="1" t="s">
        <v>434</v>
      </c>
    </row>
    <row r="341" customFormat="false" ht="14.25" hidden="false" customHeight="false" outlineLevel="0" collapsed="false">
      <c r="A341" s="1" t="s">
        <v>435</v>
      </c>
    </row>
    <row r="342" customFormat="false" ht="14.25" hidden="false" customHeight="false" outlineLevel="0" collapsed="false">
      <c r="A342" s="1" t="s">
        <v>436</v>
      </c>
    </row>
    <row r="343" customFormat="false" ht="14.25" hidden="false" customHeight="false" outlineLevel="0" collapsed="false">
      <c r="A343" s="1" t="s">
        <v>437</v>
      </c>
    </row>
    <row r="344" customFormat="false" ht="14.25" hidden="false" customHeight="false" outlineLevel="0" collapsed="false">
      <c r="A344" s="1" t="s">
        <v>438</v>
      </c>
    </row>
    <row r="345" customFormat="false" ht="14.25" hidden="false" customHeight="false" outlineLevel="0" collapsed="false">
      <c r="A345" s="1" t="s">
        <v>439</v>
      </c>
    </row>
    <row r="346" customFormat="false" ht="14.25" hidden="false" customHeight="false" outlineLevel="0" collapsed="false">
      <c r="A346" s="1" t="s">
        <v>440</v>
      </c>
    </row>
    <row r="347" customFormat="false" ht="14.25" hidden="false" customHeight="false" outlineLevel="0" collapsed="false">
      <c r="A347" s="1" t="s">
        <v>441</v>
      </c>
    </row>
    <row r="348" customFormat="false" ht="14.25" hidden="false" customHeight="false" outlineLevel="0" collapsed="false">
      <c r="A348" s="1" t="s">
        <v>442</v>
      </c>
    </row>
    <row r="349" customFormat="false" ht="14.25" hidden="false" customHeight="false" outlineLevel="0" collapsed="false">
      <c r="A349" s="1" t="s">
        <v>443</v>
      </c>
    </row>
    <row r="350" customFormat="false" ht="14.25" hidden="false" customHeight="false" outlineLevel="0" collapsed="false">
      <c r="A350" s="1" t="s">
        <v>444</v>
      </c>
    </row>
    <row r="351" customFormat="false" ht="14.25" hidden="false" customHeight="false" outlineLevel="0" collapsed="false">
      <c r="A351" s="1" t="s">
        <v>445</v>
      </c>
    </row>
    <row r="352" customFormat="false" ht="14.25" hidden="false" customHeight="false" outlineLevel="0" collapsed="false">
      <c r="A352" s="1" t="s">
        <v>446</v>
      </c>
    </row>
    <row r="353" customFormat="false" ht="14.25" hidden="false" customHeight="false" outlineLevel="0" collapsed="false">
      <c r="A353" s="1" t="s">
        <v>447</v>
      </c>
    </row>
    <row r="354" customFormat="false" ht="14.25" hidden="false" customHeight="false" outlineLevel="0" collapsed="false">
      <c r="A354" s="1" t="s">
        <v>448</v>
      </c>
    </row>
    <row r="355" customFormat="false" ht="14.25" hidden="false" customHeight="false" outlineLevel="0" collapsed="false">
      <c r="A355" s="1" t="s">
        <v>449</v>
      </c>
    </row>
    <row r="356" customFormat="false" ht="14.25" hidden="false" customHeight="false" outlineLevel="0" collapsed="false">
      <c r="A356" s="1" t="s">
        <v>450</v>
      </c>
    </row>
    <row r="357" customFormat="false" ht="14.25" hidden="false" customHeight="false" outlineLevel="0" collapsed="false">
      <c r="A357" s="1" t="s">
        <v>451</v>
      </c>
    </row>
    <row r="358" customFormat="false" ht="14.25" hidden="false" customHeight="false" outlineLevel="0" collapsed="false">
      <c r="A358" s="1" t="s">
        <v>452</v>
      </c>
    </row>
    <row r="359" customFormat="false" ht="14.25" hidden="false" customHeight="false" outlineLevel="0" collapsed="false">
      <c r="A359" s="1" t="s">
        <v>453</v>
      </c>
    </row>
    <row r="360" customFormat="false" ht="14.25" hidden="false" customHeight="false" outlineLevel="0" collapsed="false">
      <c r="A360" s="1" t="s">
        <v>454</v>
      </c>
    </row>
    <row r="361" customFormat="false" ht="14.25" hidden="false" customHeight="false" outlineLevel="0" collapsed="false">
      <c r="A361" s="1" t="s">
        <v>455</v>
      </c>
    </row>
    <row r="362" customFormat="false" ht="14.25" hidden="false" customHeight="false" outlineLevel="0" collapsed="false">
      <c r="A362" s="1" t="s">
        <v>456</v>
      </c>
    </row>
    <row r="363" customFormat="false" ht="14.25" hidden="false" customHeight="false" outlineLevel="0" collapsed="false">
      <c r="A363" s="1" t="s">
        <v>457</v>
      </c>
    </row>
    <row r="364" customFormat="false" ht="14.25" hidden="false" customHeight="false" outlineLevel="0" collapsed="false">
      <c r="A364" s="1" t="s">
        <v>458</v>
      </c>
    </row>
    <row r="365" customFormat="false" ht="14.25" hidden="false" customHeight="false" outlineLevel="0" collapsed="false">
      <c r="A365" s="1" t="s">
        <v>459</v>
      </c>
    </row>
    <row r="366" customFormat="false" ht="14.25" hidden="false" customHeight="false" outlineLevel="0" collapsed="false">
      <c r="A366" s="1" t="s">
        <v>460</v>
      </c>
    </row>
    <row r="367" customFormat="false" ht="14.25" hidden="false" customHeight="false" outlineLevel="0" collapsed="false">
      <c r="A367" s="1" t="s">
        <v>461</v>
      </c>
    </row>
    <row r="368" customFormat="false" ht="14.25" hidden="false" customHeight="false" outlineLevel="0" collapsed="false">
      <c r="A368" s="1" t="s">
        <v>462</v>
      </c>
    </row>
    <row r="369" customFormat="false" ht="14.25" hidden="false" customHeight="false" outlineLevel="0" collapsed="false">
      <c r="A369" s="1" t="s">
        <v>463</v>
      </c>
    </row>
    <row r="370" customFormat="false" ht="14.25" hidden="false" customHeight="false" outlineLevel="0" collapsed="false">
      <c r="A370" s="1" t="s">
        <v>464</v>
      </c>
    </row>
    <row r="371" customFormat="false" ht="14.25" hidden="false" customHeight="false" outlineLevel="0" collapsed="false">
      <c r="A371" s="1" t="s">
        <v>465</v>
      </c>
    </row>
    <row r="372" customFormat="false" ht="14.25" hidden="false" customHeight="false" outlineLevel="0" collapsed="false">
      <c r="A372" s="1" t="s">
        <v>466</v>
      </c>
    </row>
    <row r="373" customFormat="false" ht="14.25" hidden="false" customHeight="false" outlineLevel="0" collapsed="false">
      <c r="A373" s="1" t="s">
        <v>467</v>
      </c>
    </row>
    <row r="374" customFormat="false" ht="14.25" hidden="false" customHeight="false" outlineLevel="0" collapsed="false">
      <c r="A374" s="1" t="s">
        <v>468</v>
      </c>
    </row>
    <row r="375" customFormat="false" ht="14.25" hidden="false" customHeight="false" outlineLevel="0" collapsed="false">
      <c r="A375" s="1" t="s">
        <v>469</v>
      </c>
    </row>
    <row r="376" customFormat="false" ht="14.25" hidden="false" customHeight="false" outlineLevel="0" collapsed="false">
      <c r="A376" s="1" t="s">
        <v>470</v>
      </c>
    </row>
    <row r="377" customFormat="false" ht="14.25" hidden="false" customHeight="false" outlineLevel="0" collapsed="false">
      <c r="A377" s="1" t="s">
        <v>471</v>
      </c>
    </row>
    <row r="378" customFormat="false" ht="14.25" hidden="false" customHeight="false" outlineLevel="0" collapsed="false">
      <c r="A378" s="1" t="s">
        <v>472</v>
      </c>
    </row>
    <row r="379" customFormat="false" ht="14.25" hidden="false" customHeight="false" outlineLevel="0" collapsed="false">
      <c r="A379" s="1" t="s">
        <v>473</v>
      </c>
    </row>
    <row r="380" customFormat="false" ht="14.25" hidden="false" customHeight="false" outlineLevel="0" collapsed="false">
      <c r="A380" s="1" t="s">
        <v>474</v>
      </c>
    </row>
    <row r="381" customFormat="false" ht="14.25" hidden="false" customHeight="false" outlineLevel="0" collapsed="false">
      <c r="A381" s="1" t="s">
        <v>475</v>
      </c>
    </row>
    <row r="382" customFormat="false" ht="14.25" hidden="false" customHeight="false" outlineLevel="0" collapsed="false">
      <c r="A382" s="1" t="s">
        <v>476</v>
      </c>
    </row>
    <row r="383" customFormat="false" ht="14.25" hidden="false" customHeight="false" outlineLevel="0" collapsed="false">
      <c r="A383" s="1" t="s">
        <v>477</v>
      </c>
    </row>
    <row r="384" customFormat="false" ht="14.25" hidden="false" customHeight="false" outlineLevel="0" collapsed="false">
      <c r="A384" s="1" t="s">
        <v>478</v>
      </c>
    </row>
    <row r="385" customFormat="false" ht="14.25" hidden="false" customHeight="false" outlineLevel="0" collapsed="false">
      <c r="A385" s="1" t="s">
        <v>479</v>
      </c>
    </row>
    <row r="386" customFormat="false" ht="14.25" hidden="false" customHeight="false" outlineLevel="0" collapsed="false">
      <c r="A386" s="1" t="s">
        <v>480</v>
      </c>
    </row>
    <row r="387" customFormat="false" ht="14.25" hidden="false" customHeight="false" outlineLevel="0" collapsed="false">
      <c r="A387" s="1" t="s">
        <v>481</v>
      </c>
    </row>
    <row r="388" customFormat="false" ht="14.25" hidden="false" customHeight="false" outlineLevel="0" collapsed="false">
      <c r="A388" s="1" t="s">
        <v>482</v>
      </c>
    </row>
    <row r="389" customFormat="false" ht="14.25" hidden="false" customHeight="false" outlineLevel="0" collapsed="false">
      <c r="A389" s="1" t="s">
        <v>483</v>
      </c>
    </row>
    <row r="390" customFormat="false" ht="14.25" hidden="false" customHeight="false" outlineLevel="0" collapsed="false">
      <c r="A390" s="1" t="s">
        <v>484</v>
      </c>
    </row>
    <row r="391" customFormat="false" ht="14.25" hidden="false" customHeight="false" outlineLevel="0" collapsed="false">
      <c r="A391" s="1" t="s">
        <v>485</v>
      </c>
    </row>
    <row r="392" customFormat="false" ht="14.25" hidden="false" customHeight="false" outlineLevel="0" collapsed="false">
      <c r="A392" s="1" t="s">
        <v>486</v>
      </c>
    </row>
    <row r="393" customFormat="false" ht="14.25" hidden="false" customHeight="false" outlineLevel="0" collapsed="false">
      <c r="A393" s="1" t="s">
        <v>487</v>
      </c>
    </row>
    <row r="394" customFormat="false" ht="14.25" hidden="false" customHeight="false" outlineLevel="0" collapsed="false">
      <c r="A394" s="1" t="s">
        <v>488</v>
      </c>
    </row>
    <row r="395" customFormat="false" ht="14.25" hidden="false" customHeight="false" outlineLevel="0" collapsed="false">
      <c r="A395" s="1" t="s">
        <v>489</v>
      </c>
    </row>
    <row r="396" customFormat="false" ht="14.25" hidden="false" customHeight="false" outlineLevel="0" collapsed="false">
      <c r="A396" s="1" t="s">
        <v>490</v>
      </c>
    </row>
    <row r="397" customFormat="false" ht="14.25" hidden="false" customHeight="false" outlineLevel="0" collapsed="false">
      <c r="A397" s="1" t="s">
        <v>491</v>
      </c>
    </row>
    <row r="398" customFormat="false" ht="14.25" hidden="false" customHeight="false" outlineLevel="0" collapsed="false">
      <c r="A398" s="1" t="s">
        <v>492</v>
      </c>
    </row>
    <row r="399" customFormat="false" ht="14.25" hidden="false" customHeight="false" outlineLevel="0" collapsed="false">
      <c r="A399" s="1" t="s">
        <v>493</v>
      </c>
    </row>
    <row r="400" customFormat="false" ht="14.25" hidden="false" customHeight="false" outlineLevel="0" collapsed="false">
      <c r="A400" s="1" t="s">
        <v>494</v>
      </c>
    </row>
    <row r="401" customFormat="false" ht="14.25" hidden="false" customHeight="false" outlineLevel="0" collapsed="false">
      <c r="A401" s="1" t="s">
        <v>495</v>
      </c>
    </row>
    <row r="402" customFormat="false" ht="14.25" hidden="false" customHeight="false" outlineLevel="0" collapsed="false">
      <c r="A402" s="1" t="s">
        <v>496</v>
      </c>
    </row>
    <row r="403" customFormat="false" ht="14.25" hidden="false" customHeight="false" outlineLevel="0" collapsed="false">
      <c r="A403" s="1" t="s">
        <v>497</v>
      </c>
    </row>
    <row r="404" customFormat="false" ht="14.25" hidden="false" customHeight="false" outlineLevel="0" collapsed="false">
      <c r="A404" s="1" t="s">
        <v>498</v>
      </c>
    </row>
    <row r="405" customFormat="false" ht="14.25" hidden="false" customHeight="false" outlineLevel="0" collapsed="false">
      <c r="A405" s="1" t="s">
        <v>499</v>
      </c>
    </row>
    <row r="406" customFormat="false" ht="14.25" hidden="false" customHeight="false" outlineLevel="0" collapsed="false">
      <c r="A406" s="1" t="s">
        <v>500</v>
      </c>
    </row>
    <row r="407" customFormat="false" ht="14.25" hidden="false" customHeight="false" outlineLevel="0" collapsed="false">
      <c r="A407" s="1" t="s">
        <v>501</v>
      </c>
    </row>
    <row r="408" customFormat="false" ht="14.25" hidden="false" customHeight="false" outlineLevel="0" collapsed="false">
      <c r="A408" s="1" t="s">
        <v>502</v>
      </c>
    </row>
    <row r="409" customFormat="false" ht="14.25" hidden="false" customHeight="false" outlineLevel="0" collapsed="false">
      <c r="A409" s="1" t="s">
        <v>503</v>
      </c>
    </row>
    <row r="410" customFormat="false" ht="14.25" hidden="false" customHeight="false" outlineLevel="0" collapsed="false">
      <c r="A410" s="1" t="s">
        <v>504</v>
      </c>
    </row>
    <row r="411" customFormat="false" ht="14.25" hidden="false" customHeight="false" outlineLevel="0" collapsed="false">
      <c r="A411" s="1" t="s">
        <v>505</v>
      </c>
    </row>
    <row r="412" customFormat="false" ht="14.25" hidden="false" customHeight="false" outlineLevel="0" collapsed="false">
      <c r="A412" s="1" t="s">
        <v>506</v>
      </c>
    </row>
    <row r="413" customFormat="false" ht="14.25" hidden="false" customHeight="false" outlineLevel="0" collapsed="false">
      <c r="A413" s="1" t="s">
        <v>507</v>
      </c>
    </row>
    <row r="414" customFormat="false" ht="14.25" hidden="false" customHeight="false" outlineLevel="0" collapsed="false">
      <c r="A414" s="1" t="s">
        <v>508</v>
      </c>
    </row>
    <row r="415" customFormat="false" ht="14.25" hidden="false" customHeight="false" outlineLevel="0" collapsed="false">
      <c r="A415" s="1" t="s">
        <v>509</v>
      </c>
    </row>
    <row r="416" customFormat="false" ht="14.25" hidden="false" customHeight="false" outlineLevel="0" collapsed="false">
      <c r="A416" s="1" t="s">
        <v>510</v>
      </c>
    </row>
    <row r="417" customFormat="false" ht="14.25" hidden="false" customHeight="false" outlineLevel="0" collapsed="false">
      <c r="A417" s="1" t="s">
        <v>511</v>
      </c>
    </row>
    <row r="418" customFormat="false" ht="14.25" hidden="false" customHeight="false" outlineLevel="0" collapsed="false">
      <c r="A418" s="1" t="s">
        <v>512</v>
      </c>
    </row>
    <row r="419" customFormat="false" ht="14.25" hidden="false" customHeight="false" outlineLevel="0" collapsed="false">
      <c r="A419" s="1" t="s">
        <v>513</v>
      </c>
    </row>
    <row r="420" customFormat="false" ht="14.25" hidden="false" customHeight="false" outlineLevel="0" collapsed="false">
      <c r="A420" s="1" t="s">
        <v>514</v>
      </c>
    </row>
    <row r="421" customFormat="false" ht="14.25" hidden="false" customHeight="false" outlineLevel="0" collapsed="false">
      <c r="A421" s="1" t="s">
        <v>515</v>
      </c>
    </row>
    <row r="422" customFormat="false" ht="14.25" hidden="false" customHeight="false" outlineLevel="0" collapsed="false">
      <c r="A422" s="1" t="s">
        <v>516</v>
      </c>
    </row>
    <row r="423" customFormat="false" ht="14.25" hidden="false" customHeight="false" outlineLevel="0" collapsed="false">
      <c r="A423" s="1" t="s">
        <v>517</v>
      </c>
    </row>
    <row r="424" customFormat="false" ht="14.25" hidden="false" customHeight="false" outlineLevel="0" collapsed="false">
      <c r="A424" s="1" t="s">
        <v>518</v>
      </c>
    </row>
    <row r="425" customFormat="false" ht="14.25" hidden="false" customHeight="false" outlineLevel="0" collapsed="false">
      <c r="A425" s="1" t="s">
        <v>519</v>
      </c>
    </row>
    <row r="426" customFormat="false" ht="14.25" hidden="false" customHeight="false" outlineLevel="0" collapsed="false">
      <c r="A426" s="1" t="s">
        <v>520</v>
      </c>
    </row>
    <row r="427" customFormat="false" ht="14.25" hidden="false" customHeight="false" outlineLevel="0" collapsed="false">
      <c r="A427" s="1" t="s">
        <v>521</v>
      </c>
    </row>
    <row r="428" customFormat="false" ht="14.25" hidden="false" customHeight="false" outlineLevel="0" collapsed="false">
      <c r="A428" s="1" t="s">
        <v>522</v>
      </c>
    </row>
    <row r="429" customFormat="false" ht="14.25" hidden="false" customHeight="false" outlineLevel="0" collapsed="false">
      <c r="A429" s="1" t="s">
        <v>523</v>
      </c>
    </row>
    <row r="430" customFormat="false" ht="14.25" hidden="false" customHeight="false" outlineLevel="0" collapsed="false">
      <c r="A430" s="1" t="s">
        <v>524</v>
      </c>
    </row>
    <row r="431" customFormat="false" ht="14.25" hidden="false" customHeight="false" outlineLevel="0" collapsed="false">
      <c r="A431" s="1" t="s">
        <v>525</v>
      </c>
    </row>
    <row r="432" customFormat="false" ht="14.25" hidden="false" customHeight="false" outlineLevel="0" collapsed="false">
      <c r="A432" s="1" t="s">
        <v>526</v>
      </c>
    </row>
    <row r="433" customFormat="false" ht="14.25" hidden="false" customHeight="false" outlineLevel="0" collapsed="false">
      <c r="A433" s="1" t="s">
        <v>527</v>
      </c>
    </row>
    <row r="434" customFormat="false" ht="14.25" hidden="false" customHeight="false" outlineLevel="0" collapsed="false">
      <c r="A434" s="1" t="s">
        <v>528</v>
      </c>
    </row>
    <row r="435" customFormat="false" ht="14.25" hidden="false" customHeight="false" outlineLevel="0" collapsed="false">
      <c r="A435" s="1" t="s">
        <v>529</v>
      </c>
    </row>
    <row r="436" customFormat="false" ht="14.25" hidden="false" customHeight="false" outlineLevel="0" collapsed="false">
      <c r="A436" s="1" t="s">
        <v>530</v>
      </c>
    </row>
    <row r="437" customFormat="false" ht="14.25" hidden="false" customHeight="false" outlineLevel="0" collapsed="false">
      <c r="A437" s="1" t="s">
        <v>531</v>
      </c>
    </row>
    <row r="438" customFormat="false" ht="14.25" hidden="false" customHeight="false" outlineLevel="0" collapsed="false">
      <c r="A438" s="1" t="s">
        <v>532</v>
      </c>
    </row>
    <row r="439" customFormat="false" ht="14.25" hidden="false" customHeight="false" outlineLevel="0" collapsed="false">
      <c r="A439" s="1" t="s">
        <v>533</v>
      </c>
    </row>
    <row r="440" customFormat="false" ht="14.25" hidden="false" customHeight="false" outlineLevel="0" collapsed="false">
      <c r="A440" s="1" t="s">
        <v>534</v>
      </c>
    </row>
    <row r="441" customFormat="false" ht="14.25" hidden="false" customHeight="false" outlineLevel="0" collapsed="false">
      <c r="A441" s="1" t="s">
        <v>535</v>
      </c>
    </row>
    <row r="442" customFormat="false" ht="14.25" hidden="false" customHeight="false" outlineLevel="0" collapsed="false">
      <c r="A442" s="1" t="s">
        <v>536</v>
      </c>
    </row>
    <row r="443" customFormat="false" ht="14.25" hidden="false" customHeight="false" outlineLevel="0" collapsed="false">
      <c r="A443" s="1" t="s">
        <v>537</v>
      </c>
    </row>
    <row r="444" customFormat="false" ht="14.25" hidden="false" customHeight="false" outlineLevel="0" collapsed="false">
      <c r="A444" s="1" t="s">
        <v>538</v>
      </c>
    </row>
    <row r="445" customFormat="false" ht="14.25" hidden="false" customHeight="false" outlineLevel="0" collapsed="false">
      <c r="A445" s="1" t="s">
        <v>539</v>
      </c>
    </row>
    <row r="446" customFormat="false" ht="14.25" hidden="false" customHeight="false" outlineLevel="0" collapsed="false">
      <c r="A446" s="1" t="s">
        <v>540</v>
      </c>
    </row>
    <row r="447" customFormat="false" ht="14.25" hidden="false" customHeight="false" outlineLevel="0" collapsed="false">
      <c r="A447" s="1" t="s">
        <v>541</v>
      </c>
    </row>
    <row r="448" customFormat="false" ht="14.25" hidden="false" customHeight="false" outlineLevel="0" collapsed="false">
      <c r="A448" s="1" t="s">
        <v>542</v>
      </c>
    </row>
    <row r="449" customFormat="false" ht="14.25" hidden="false" customHeight="false" outlineLevel="0" collapsed="false">
      <c r="A449" s="1" t="s">
        <v>543</v>
      </c>
    </row>
    <row r="450" customFormat="false" ht="14.25" hidden="false" customHeight="false" outlineLevel="0" collapsed="false">
      <c r="A450" s="1" t="s">
        <v>544</v>
      </c>
    </row>
    <row r="451" customFormat="false" ht="14.25" hidden="false" customHeight="false" outlineLevel="0" collapsed="false">
      <c r="A451" s="1" t="s">
        <v>545</v>
      </c>
    </row>
    <row r="452" customFormat="false" ht="14.25" hidden="false" customHeight="false" outlineLevel="0" collapsed="false">
      <c r="A452" s="1" t="s">
        <v>546</v>
      </c>
    </row>
    <row r="453" customFormat="false" ht="14.25" hidden="false" customHeight="false" outlineLevel="0" collapsed="false">
      <c r="A453" s="1" t="s">
        <v>547</v>
      </c>
    </row>
    <row r="454" customFormat="false" ht="14.25" hidden="false" customHeight="false" outlineLevel="0" collapsed="false">
      <c r="A454" s="1" t="s">
        <v>548</v>
      </c>
    </row>
    <row r="455" customFormat="false" ht="14.25" hidden="false" customHeight="false" outlineLevel="0" collapsed="false">
      <c r="A455" s="1" t="s">
        <v>549</v>
      </c>
    </row>
    <row r="456" customFormat="false" ht="14.25" hidden="false" customHeight="false" outlineLevel="0" collapsed="false">
      <c r="A456" s="1" t="s">
        <v>550</v>
      </c>
    </row>
    <row r="457" customFormat="false" ht="14.25" hidden="false" customHeight="false" outlineLevel="0" collapsed="false">
      <c r="A457" s="1" t="s">
        <v>551</v>
      </c>
    </row>
    <row r="458" customFormat="false" ht="14.25" hidden="false" customHeight="false" outlineLevel="0" collapsed="false">
      <c r="A458" s="1" t="s">
        <v>552</v>
      </c>
    </row>
    <row r="459" customFormat="false" ht="14.25" hidden="false" customHeight="false" outlineLevel="0" collapsed="false">
      <c r="A459" s="1" t="s">
        <v>553</v>
      </c>
    </row>
    <row r="460" customFormat="false" ht="14.25" hidden="false" customHeight="false" outlineLevel="0" collapsed="false">
      <c r="A460" s="1" t="s">
        <v>554</v>
      </c>
    </row>
    <row r="461" customFormat="false" ht="14.25" hidden="false" customHeight="false" outlineLevel="0" collapsed="false">
      <c r="A461" s="1" t="s">
        <v>555</v>
      </c>
    </row>
    <row r="462" customFormat="false" ht="14.25" hidden="false" customHeight="false" outlineLevel="0" collapsed="false">
      <c r="A462" s="1" t="s">
        <v>556</v>
      </c>
    </row>
    <row r="463" customFormat="false" ht="14.25" hidden="false" customHeight="false" outlineLevel="0" collapsed="false">
      <c r="A463" s="1" t="s">
        <v>557</v>
      </c>
    </row>
    <row r="464" customFormat="false" ht="14.25" hidden="false" customHeight="false" outlineLevel="0" collapsed="false">
      <c r="A464" s="1" t="s">
        <v>558</v>
      </c>
    </row>
    <row r="465" customFormat="false" ht="14.25" hidden="false" customHeight="false" outlineLevel="0" collapsed="false">
      <c r="A465" s="1" t="s">
        <v>559</v>
      </c>
    </row>
    <row r="466" customFormat="false" ht="14.25" hidden="false" customHeight="false" outlineLevel="0" collapsed="false">
      <c r="A466" s="1" t="s">
        <v>560</v>
      </c>
    </row>
    <row r="467" customFormat="false" ht="14.25" hidden="false" customHeight="false" outlineLevel="0" collapsed="false">
      <c r="A467" s="1" t="s">
        <v>561</v>
      </c>
    </row>
    <row r="468" customFormat="false" ht="14.25" hidden="false" customHeight="false" outlineLevel="0" collapsed="false">
      <c r="A468" s="1" t="s">
        <v>562</v>
      </c>
    </row>
    <row r="469" customFormat="false" ht="14.25" hidden="false" customHeight="false" outlineLevel="0" collapsed="false">
      <c r="A469" s="1" t="s">
        <v>563</v>
      </c>
    </row>
    <row r="470" customFormat="false" ht="14.25" hidden="false" customHeight="false" outlineLevel="0" collapsed="false">
      <c r="A470" s="1" t="s">
        <v>564</v>
      </c>
    </row>
    <row r="471" customFormat="false" ht="14.25" hidden="false" customHeight="false" outlineLevel="0" collapsed="false">
      <c r="A471" s="1" t="s">
        <v>565</v>
      </c>
    </row>
    <row r="472" customFormat="false" ht="14.25" hidden="false" customHeight="false" outlineLevel="0" collapsed="false">
      <c r="A472" s="1" t="s">
        <v>566</v>
      </c>
    </row>
    <row r="473" customFormat="false" ht="14.25" hidden="false" customHeight="false" outlineLevel="0" collapsed="false">
      <c r="A473" s="1" t="s">
        <v>567</v>
      </c>
    </row>
    <row r="474" customFormat="false" ht="14.25" hidden="false" customHeight="false" outlineLevel="0" collapsed="false">
      <c r="A474" s="1" t="s">
        <v>568</v>
      </c>
    </row>
    <row r="475" customFormat="false" ht="14.25" hidden="false" customHeight="false" outlineLevel="0" collapsed="false">
      <c r="A475" s="1" t="s">
        <v>569</v>
      </c>
    </row>
    <row r="476" customFormat="false" ht="14.25" hidden="false" customHeight="false" outlineLevel="0" collapsed="false">
      <c r="A476" s="1" t="s">
        <v>570</v>
      </c>
    </row>
    <row r="477" customFormat="false" ht="14.25" hidden="false" customHeight="false" outlineLevel="0" collapsed="false">
      <c r="A477" s="1" t="s">
        <v>571</v>
      </c>
    </row>
    <row r="478" customFormat="false" ht="14.25" hidden="false" customHeight="false" outlineLevel="0" collapsed="false">
      <c r="A478" s="1" t="s">
        <v>572</v>
      </c>
    </row>
    <row r="479" customFormat="false" ht="14.25" hidden="false" customHeight="false" outlineLevel="0" collapsed="false">
      <c r="A479" s="1" t="s">
        <v>573</v>
      </c>
    </row>
    <row r="480" customFormat="false" ht="14.25" hidden="false" customHeight="false" outlineLevel="0" collapsed="false">
      <c r="A480" s="1" t="s">
        <v>574</v>
      </c>
    </row>
    <row r="481" customFormat="false" ht="14.25" hidden="false" customHeight="false" outlineLevel="0" collapsed="false">
      <c r="A481" s="1" t="s">
        <v>575</v>
      </c>
    </row>
    <row r="482" customFormat="false" ht="14.25" hidden="false" customHeight="false" outlineLevel="0" collapsed="false">
      <c r="A482" s="1" t="s">
        <v>576</v>
      </c>
    </row>
    <row r="483" customFormat="false" ht="14.25" hidden="false" customHeight="false" outlineLevel="0" collapsed="false">
      <c r="A483" s="1" t="s">
        <v>577</v>
      </c>
    </row>
    <row r="484" customFormat="false" ht="14.25" hidden="false" customHeight="false" outlineLevel="0" collapsed="false">
      <c r="A484" s="1" t="s">
        <v>578</v>
      </c>
    </row>
    <row r="485" customFormat="false" ht="14.25" hidden="false" customHeight="false" outlineLevel="0" collapsed="false">
      <c r="A485" s="1" t="s">
        <v>579</v>
      </c>
    </row>
    <row r="486" customFormat="false" ht="14.25" hidden="false" customHeight="false" outlineLevel="0" collapsed="false">
      <c r="A486" s="1" t="s">
        <v>580</v>
      </c>
    </row>
    <row r="487" customFormat="false" ht="14.25" hidden="false" customHeight="false" outlineLevel="0" collapsed="false">
      <c r="A487" s="1" t="s">
        <v>581</v>
      </c>
    </row>
    <row r="488" customFormat="false" ht="14.25" hidden="false" customHeight="false" outlineLevel="0" collapsed="false">
      <c r="A488" s="1" t="s">
        <v>582</v>
      </c>
    </row>
    <row r="489" customFormat="false" ht="14.25" hidden="false" customHeight="false" outlineLevel="0" collapsed="false">
      <c r="A489" s="1" t="s">
        <v>583</v>
      </c>
    </row>
    <row r="490" customFormat="false" ht="14.25" hidden="false" customHeight="false" outlineLevel="0" collapsed="false">
      <c r="A490" s="1" t="s">
        <v>584</v>
      </c>
    </row>
    <row r="491" customFormat="false" ht="14.25" hidden="false" customHeight="false" outlineLevel="0" collapsed="false">
      <c r="A491" s="1" t="s">
        <v>585</v>
      </c>
    </row>
    <row r="492" customFormat="false" ht="14.25" hidden="false" customHeight="false" outlineLevel="0" collapsed="false">
      <c r="A492" s="1" t="s">
        <v>586</v>
      </c>
    </row>
    <row r="493" customFormat="false" ht="14.25" hidden="false" customHeight="false" outlineLevel="0" collapsed="false">
      <c r="A493" s="1" t="s">
        <v>587</v>
      </c>
    </row>
    <row r="494" customFormat="false" ht="14.25" hidden="false" customHeight="false" outlineLevel="0" collapsed="false">
      <c r="A494" s="1" t="s">
        <v>588</v>
      </c>
    </row>
    <row r="495" customFormat="false" ht="14.25" hidden="false" customHeight="false" outlineLevel="0" collapsed="false">
      <c r="A495" s="1" t="s">
        <v>589</v>
      </c>
    </row>
    <row r="496" customFormat="false" ht="14.25" hidden="false" customHeight="false" outlineLevel="0" collapsed="false">
      <c r="A496" s="1" t="s">
        <v>590</v>
      </c>
    </row>
    <row r="497" customFormat="false" ht="14.25" hidden="false" customHeight="false" outlineLevel="0" collapsed="false">
      <c r="A497" s="1" t="s">
        <v>591</v>
      </c>
    </row>
    <row r="498" customFormat="false" ht="14.25" hidden="false" customHeight="false" outlineLevel="0" collapsed="false">
      <c r="A498" s="1" t="s">
        <v>592</v>
      </c>
    </row>
    <row r="499" customFormat="false" ht="14.25" hidden="false" customHeight="false" outlineLevel="0" collapsed="false">
      <c r="A499" s="1" t="s">
        <v>593</v>
      </c>
    </row>
    <row r="500" customFormat="false" ht="14.25" hidden="false" customHeight="false" outlineLevel="0" collapsed="false">
      <c r="A500" s="1" t="s">
        <v>594</v>
      </c>
    </row>
    <row r="501" customFormat="false" ht="14.25" hidden="false" customHeight="false" outlineLevel="0" collapsed="false">
      <c r="A501" s="1" t="s">
        <v>595</v>
      </c>
    </row>
    <row r="502" customFormat="false" ht="14.25" hidden="false" customHeight="false" outlineLevel="0" collapsed="false">
      <c r="A502" s="1" t="s">
        <v>596</v>
      </c>
    </row>
    <row r="503" customFormat="false" ht="14.25" hidden="false" customHeight="false" outlineLevel="0" collapsed="false">
      <c r="A503" s="1" t="s">
        <v>597</v>
      </c>
    </row>
    <row r="504" customFormat="false" ht="14.25" hidden="false" customHeight="false" outlineLevel="0" collapsed="false">
      <c r="A504" s="1" t="s">
        <v>598</v>
      </c>
    </row>
    <row r="505" customFormat="false" ht="14.25" hidden="false" customHeight="false" outlineLevel="0" collapsed="false">
      <c r="A505" s="1" t="s">
        <v>599</v>
      </c>
    </row>
    <row r="506" customFormat="false" ht="14.25" hidden="false" customHeight="false" outlineLevel="0" collapsed="false">
      <c r="A506" s="1" t="s">
        <v>600</v>
      </c>
    </row>
    <row r="507" customFormat="false" ht="14.25" hidden="false" customHeight="false" outlineLevel="0" collapsed="false">
      <c r="A507" s="1" t="s">
        <v>601</v>
      </c>
    </row>
    <row r="508" customFormat="false" ht="14.25" hidden="false" customHeight="false" outlineLevel="0" collapsed="false">
      <c r="A508" s="1" t="s">
        <v>602</v>
      </c>
    </row>
    <row r="509" customFormat="false" ht="14.25" hidden="false" customHeight="false" outlineLevel="0" collapsed="false">
      <c r="A509" s="1" t="s">
        <v>603</v>
      </c>
    </row>
    <row r="510" customFormat="false" ht="14.25" hidden="false" customHeight="false" outlineLevel="0" collapsed="false">
      <c r="A510" s="1" t="s">
        <v>604</v>
      </c>
    </row>
    <row r="511" customFormat="false" ht="14.25" hidden="false" customHeight="false" outlineLevel="0" collapsed="false">
      <c r="A511" s="1" t="s">
        <v>605</v>
      </c>
    </row>
    <row r="512" customFormat="false" ht="14.25" hidden="false" customHeight="false" outlineLevel="0" collapsed="false">
      <c r="A512" s="1" t="s">
        <v>606</v>
      </c>
    </row>
    <row r="513" customFormat="false" ht="14.25" hidden="false" customHeight="false" outlineLevel="0" collapsed="false">
      <c r="A513" s="1" t="s">
        <v>607</v>
      </c>
    </row>
    <row r="514" customFormat="false" ht="14.25" hidden="false" customHeight="false" outlineLevel="0" collapsed="false">
      <c r="A514" s="1" t="s">
        <v>608</v>
      </c>
    </row>
    <row r="515" customFormat="false" ht="14.25" hidden="false" customHeight="false" outlineLevel="0" collapsed="false">
      <c r="A515" s="1" t="s">
        <v>609</v>
      </c>
    </row>
    <row r="516" customFormat="false" ht="14.25" hidden="false" customHeight="false" outlineLevel="0" collapsed="false">
      <c r="A516" s="1" t="s">
        <v>610</v>
      </c>
    </row>
    <row r="517" customFormat="false" ht="14.25" hidden="false" customHeight="false" outlineLevel="0" collapsed="false">
      <c r="A517" s="1" t="s">
        <v>611</v>
      </c>
    </row>
    <row r="518" customFormat="false" ht="14.25" hidden="false" customHeight="false" outlineLevel="0" collapsed="false">
      <c r="A518" s="1" t="s">
        <v>612</v>
      </c>
    </row>
    <row r="519" customFormat="false" ht="14.25" hidden="false" customHeight="false" outlineLevel="0" collapsed="false">
      <c r="A519" s="1" t="s">
        <v>613</v>
      </c>
    </row>
    <row r="520" customFormat="false" ht="14.25" hidden="false" customHeight="false" outlineLevel="0" collapsed="false">
      <c r="A520" s="1" t="s">
        <v>614</v>
      </c>
    </row>
    <row r="521" customFormat="false" ht="14.25" hidden="false" customHeight="false" outlineLevel="0" collapsed="false">
      <c r="A521" s="1" t="s">
        <v>615</v>
      </c>
    </row>
    <row r="522" customFormat="false" ht="14.25" hidden="false" customHeight="false" outlineLevel="0" collapsed="false">
      <c r="A522" s="1" t="s">
        <v>616</v>
      </c>
    </row>
    <row r="523" customFormat="false" ht="14.25" hidden="false" customHeight="false" outlineLevel="0" collapsed="false">
      <c r="A523" s="1" t="s">
        <v>617</v>
      </c>
    </row>
    <row r="524" customFormat="false" ht="14.25" hidden="false" customHeight="false" outlineLevel="0" collapsed="false">
      <c r="A524" s="1" t="s">
        <v>618</v>
      </c>
    </row>
    <row r="525" customFormat="false" ht="14.25" hidden="false" customHeight="false" outlineLevel="0" collapsed="false">
      <c r="A525" s="1" t="s">
        <v>619</v>
      </c>
    </row>
    <row r="526" customFormat="false" ht="14.25" hidden="false" customHeight="false" outlineLevel="0" collapsed="false">
      <c r="A526" s="1" t="s">
        <v>620</v>
      </c>
    </row>
    <row r="527" customFormat="false" ht="14.25" hidden="false" customHeight="false" outlineLevel="0" collapsed="false">
      <c r="A527" s="1" t="s">
        <v>621</v>
      </c>
    </row>
    <row r="528" customFormat="false" ht="14.25" hidden="false" customHeight="false" outlineLevel="0" collapsed="false">
      <c r="A528" s="1" t="s">
        <v>622</v>
      </c>
    </row>
    <row r="529" customFormat="false" ht="14.25" hidden="false" customHeight="false" outlineLevel="0" collapsed="false">
      <c r="A529" s="1" t="s">
        <v>623</v>
      </c>
    </row>
    <row r="530" customFormat="false" ht="14.25" hidden="false" customHeight="false" outlineLevel="0" collapsed="false">
      <c r="A530" s="1" t="s">
        <v>624</v>
      </c>
    </row>
    <row r="531" customFormat="false" ht="14.25" hidden="false" customHeight="false" outlineLevel="0" collapsed="false">
      <c r="A531" s="1" t="s">
        <v>625</v>
      </c>
    </row>
    <row r="532" customFormat="false" ht="14.25" hidden="false" customHeight="false" outlineLevel="0" collapsed="false">
      <c r="A532" s="1" t="s">
        <v>626</v>
      </c>
    </row>
    <row r="533" customFormat="false" ht="14.25" hidden="false" customHeight="false" outlineLevel="0" collapsed="false">
      <c r="A533" s="1" t="s">
        <v>627</v>
      </c>
    </row>
    <row r="534" customFormat="false" ht="14.25" hidden="false" customHeight="false" outlineLevel="0" collapsed="false">
      <c r="A534" s="1" t="s">
        <v>628</v>
      </c>
    </row>
    <row r="535" customFormat="false" ht="14.25" hidden="false" customHeight="false" outlineLevel="0" collapsed="false">
      <c r="A535" s="1" t="s">
        <v>629</v>
      </c>
    </row>
    <row r="536" customFormat="false" ht="14.25" hidden="false" customHeight="false" outlineLevel="0" collapsed="false">
      <c r="A536" s="1" t="s">
        <v>630</v>
      </c>
    </row>
    <row r="537" customFormat="false" ht="14.25" hidden="false" customHeight="false" outlineLevel="0" collapsed="false">
      <c r="A537" s="1" t="s">
        <v>631</v>
      </c>
    </row>
    <row r="538" customFormat="false" ht="14.25" hidden="false" customHeight="false" outlineLevel="0" collapsed="false">
      <c r="A538" s="1" t="s">
        <v>632</v>
      </c>
    </row>
    <row r="539" customFormat="false" ht="14.25" hidden="false" customHeight="false" outlineLevel="0" collapsed="false">
      <c r="A539" s="1" t="s">
        <v>633</v>
      </c>
    </row>
    <row r="540" customFormat="false" ht="14.25" hidden="false" customHeight="false" outlineLevel="0" collapsed="false">
      <c r="A540" s="1" t="s">
        <v>634</v>
      </c>
    </row>
    <row r="541" customFormat="false" ht="14.25" hidden="false" customHeight="false" outlineLevel="0" collapsed="false">
      <c r="A541" s="1" t="s">
        <v>635</v>
      </c>
    </row>
    <row r="542" customFormat="false" ht="14.25" hidden="false" customHeight="false" outlineLevel="0" collapsed="false">
      <c r="A542" s="1" t="s">
        <v>636</v>
      </c>
    </row>
    <row r="543" customFormat="false" ht="14.25" hidden="false" customHeight="false" outlineLevel="0" collapsed="false">
      <c r="A543" s="1" t="s">
        <v>637</v>
      </c>
    </row>
    <row r="544" customFormat="false" ht="14.25" hidden="false" customHeight="false" outlineLevel="0" collapsed="false">
      <c r="A544" s="1" t="s">
        <v>638</v>
      </c>
    </row>
    <row r="545" customFormat="false" ht="14.25" hidden="false" customHeight="false" outlineLevel="0" collapsed="false">
      <c r="A545" s="1" t="s">
        <v>639</v>
      </c>
    </row>
    <row r="546" customFormat="false" ht="14.25" hidden="false" customHeight="false" outlineLevel="0" collapsed="false">
      <c r="A546" s="1" t="s">
        <v>640</v>
      </c>
    </row>
    <row r="547" customFormat="false" ht="14.25" hidden="false" customHeight="false" outlineLevel="0" collapsed="false">
      <c r="A547" s="1" t="s">
        <v>641</v>
      </c>
    </row>
    <row r="548" customFormat="false" ht="14.25" hidden="false" customHeight="false" outlineLevel="0" collapsed="false">
      <c r="A548" s="1" t="s">
        <v>642</v>
      </c>
    </row>
    <row r="549" customFormat="false" ht="14.25" hidden="false" customHeight="false" outlineLevel="0" collapsed="false">
      <c r="A549" s="1" t="s">
        <v>643</v>
      </c>
    </row>
    <row r="550" customFormat="false" ht="14.25" hidden="false" customHeight="false" outlineLevel="0" collapsed="false">
      <c r="A550" s="1" t="s">
        <v>644</v>
      </c>
    </row>
    <row r="551" customFormat="false" ht="14.25" hidden="false" customHeight="false" outlineLevel="0" collapsed="false">
      <c r="A551" s="1" t="s">
        <v>645</v>
      </c>
    </row>
    <row r="552" customFormat="false" ht="14.25" hidden="false" customHeight="false" outlineLevel="0" collapsed="false">
      <c r="A552" s="1" t="s">
        <v>646</v>
      </c>
    </row>
    <row r="553" customFormat="false" ht="14.25" hidden="false" customHeight="false" outlineLevel="0" collapsed="false">
      <c r="A553" s="1" t="s">
        <v>647</v>
      </c>
    </row>
    <row r="554" customFormat="false" ht="14.25" hidden="false" customHeight="false" outlineLevel="0" collapsed="false">
      <c r="A554" s="1" t="s">
        <v>648</v>
      </c>
    </row>
    <row r="555" customFormat="false" ht="14.25" hidden="false" customHeight="false" outlineLevel="0" collapsed="false">
      <c r="A555" s="1" t="s">
        <v>649</v>
      </c>
    </row>
    <row r="556" customFormat="false" ht="14.25" hidden="false" customHeight="false" outlineLevel="0" collapsed="false">
      <c r="A556" s="1" t="s">
        <v>650</v>
      </c>
    </row>
    <row r="557" customFormat="false" ht="14.25" hidden="false" customHeight="false" outlineLevel="0" collapsed="false">
      <c r="A557" s="1" t="s">
        <v>651</v>
      </c>
    </row>
    <row r="558" customFormat="false" ht="14.25" hidden="false" customHeight="false" outlineLevel="0" collapsed="false">
      <c r="A558" s="1" t="s">
        <v>652</v>
      </c>
    </row>
    <row r="559" customFormat="false" ht="14.25" hidden="false" customHeight="false" outlineLevel="0" collapsed="false">
      <c r="A559" s="1" t="s">
        <v>653</v>
      </c>
    </row>
    <row r="560" customFormat="false" ht="14.25" hidden="false" customHeight="false" outlineLevel="0" collapsed="false">
      <c r="A560" s="1" t="s">
        <v>654</v>
      </c>
    </row>
    <row r="561" customFormat="false" ht="14.25" hidden="false" customHeight="false" outlineLevel="0" collapsed="false">
      <c r="A561" s="1" t="s">
        <v>655</v>
      </c>
    </row>
    <row r="562" customFormat="false" ht="14.25" hidden="false" customHeight="false" outlineLevel="0" collapsed="false">
      <c r="A562" s="1" t="s">
        <v>656</v>
      </c>
    </row>
    <row r="563" customFormat="false" ht="14.25" hidden="false" customHeight="false" outlineLevel="0" collapsed="false">
      <c r="A563" s="1" t="s">
        <v>657</v>
      </c>
    </row>
    <row r="564" customFormat="false" ht="14.25" hidden="false" customHeight="false" outlineLevel="0" collapsed="false">
      <c r="A564" s="1" t="s">
        <v>658</v>
      </c>
    </row>
    <row r="565" customFormat="false" ht="14.25" hidden="false" customHeight="false" outlineLevel="0" collapsed="false">
      <c r="A565" s="1" t="s">
        <v>659</v>
      </c>
    </row>
    <row r="566" customFormat="false" ht="14.25" hidden="false" customHeight="false" outlineLevel="0" collapsed="false">
      <c r="A566" s="1" t="s">
        <v>660</v>
      </c>
    </row>
    <row r="567" customFormat="false" ht="14.25" hidden="false" customHeight="false" outlineLevel="0" collapsed="false">
      <c r="A567" s="1" t="s">
        <v>661</v>
      </c>
    </row>
    <row r="568" customFormat="false" ht="14.25" hidden="false" customHeight="false" outlineLevel="0" collapsed="false">
      <c r="A568" s="1" t="s">
        <v>662</v>
      </c>
    </row>
    <row r="569" customFormat="false" ht="14.25" hidden="false" customHeight="false" outlineLevel="0" collapsed="false">
      <c r="A569" s="1" t="s">
        <v>663</v>
      </c>
    </row>
    <row r="570" customFormat="false" ht="14.25" hidden="false" customHeight="false" outlineLevel="0" collapsed="false">
      <c r="A570" s="1" t="s">
        <v>664</v>
      </c>
    </row>
    <row r="571" customFormat="false" ht="14.25" hidden="false" customHeight="false" outlineLevel="0" collapsed="false">
      <c r="A571" s="1" t="s">
        <v>665</v>
      </c>
    </row>
    <row r="572" customFormat="false" ht="14.25" hidden="false" customHeight="false" outlineLevel="0" collapsed="false">
      <c r="A572" s="1" t="s">
        <v>666</v>
      </c>
    </row>
    <row r="573" customFormat="false" ht="14.25" hidden="false" customHeight="false" outlineLevel="0" collapsed="false">
      <c r="A573" s="1" t="s">
        <v>667</v>
      </c>
    </row>
    <row r="574" customFormat="false" ht="14.25" hidden="false" customHeight="false" outlineLevel="0" collapsed="false">
      <c r="A574" s="1" t="s">
        <v>668</v>
      </c>
    </row>
    <row r="575" customFormat="false" ht="14.25" hidden="false" customHeight="false" outlineLevel="0" collapsed="false">
      <c r="A575" s="1" t="s">
        <v>669</v>
      </c>
    </row>
    <row r="576" customFormat="false" ht="14.25" hidden="false" customHeight="false" outlineLevel="0" collapsed="false">
      <c r="A576" s="1" t="s">
        <v>670</v>
      </c>
    </row>
    <row r="577" customFormat="false" ht="14.25" hidden="false" customHeight="false" outlineLevel="0" collapsed="false">
      <c r="A577" s="1" t="s">
        <v>671</v>
      </c>
    </row>
    <row r="578" customFormat="false" ht="14.25" hidden="false" customHeight="false" outlineLevel="0" collapsed="false">
      <c r="A578" s="1" t="s">
        <v>672</v>
      </c>
    </row>
    <row r="579" customFormat="false" ht="14.25" hidden="false" customHeight="false" outlineLevel="0" collapsed="false">
      <c r="A579" s="1" t="s">
        <v>673</v>
      </c>
    </row>
    <row r="580" customFormat="false" ht="14.25" hidden="false" customHeight="false" outlineLevel="0" collapsed="false">
      <c r="A580" s="1" t="s">
        <v>674</v>
      </c>
    </row>
    <row r="581" customFormat="false" ht="14.25" hidden="false" customHeight="false" outlineLevel="0" collapsed="false">
      <c r="A581" s="1" t="s">
        <v>675</v>
      </c>
    </row>
    <row r="582" customFormat="false" ht="14.25" hidden="false" customHeight="false" outlineLevel="0" collapsed="false">
      <c r="A582" s="1" t="s">
        <v>676</v>
      </c>
    </row>
    <row r="583" customFormat="false" ht="14.25" hidden="false" customHeight="false" outlineLevel="0" collapsed="false">
      <c r="A583" s="1" t="s">
        <v>677</v>
      </c>
    </row>
    <row r="584" customFormat="false" ht="14.25" hidden="false" customHeight="false" outlineLevel="0" collapsed="false">
      <c r="A584" s="1" t="s">
        <v>678</v>
      </c>
    </row>
    <row r="585" customFormat="false" ht="14.25" hidden="false" customHeight="false" outlineLevel="0" collapsed="false">
      <c r="A585" s="1" t="s">
        <v>679</v>
      </c>
    </row>
    <row r="586" customFormat="false" ht="14.25" hidden="false" customHeight="false" outlineLevel="0" collapsed="false">
      <c r="A586" s="1" t="s">
        <v>680</v>
      </c>
    </row>
    <row r="587" customFormat="false" ht="14.25" hidden="false" customHeight="false" outlineLevel="0" collapsed="false">
      <c r="A587" s="1" t="s">
        <v>681</v>
      </c>
    </row>
    <row r="588" customFormat="false" ht="14.25" hidden="false" customHeight="false" outlineLevel="0" collapsed="false">
      <c r="A588" s="1" t="s">
        <v>682</v>
      </c>
    </row>
    <row r="589" customFormat="false" ht="14.25" hidden="false" customHeight="false" outlineLevel="0" collapsed="false">
      <c r="A589" s="1" t="s">
        <v>683</v>
      </c>
    </row>
    <row r="590" customFormat="false" ht="14.25" hidden="false" customHeight="false" outlineLevel="0" collapsed="false">
      <c r="A590" s="1" t="s">
        <v>684</v>
      </c>
    </row>
    <row r="591" customFormat="false" ht="14.25" hidden="false" customHeight="false" outlineLevel="0" collapsed="false">
      <c r="A591" s="1" t="s">
        <v>685</v>
      </c>
    </row>
    <row r="592" customFormat="false" ht="14.25" hidden="false" customHeight="false" outlineLevel="0" collapsed="false">
      <c r="A592" s="1" t="s">
        <v>686</v>
      </c>
    </row>
    <row r="593" customFormat="false" ht="14.25" hidden="false" customHeight="false" outlineLevel="0" collapsed="false">
      <c r="A593" s="1" t="s">
        <v>687</v>
      </c>
    </row>
    <row r="594" customFormat="false" ht="14.25" hidden="false" customHeight="false" outlineLevel="0" collapsed="false">
      <c r="A594" s="1" t="s">
        <v>688</v>
      </c>
    </row>
    <row r="595" customFormat="false" ht="14.25" hidden="false" customHeight="false" outlineLevel="0" collapsed="false">
      <c r="A595" s="1" t="s">
        <v>689</v>
      </c>
    </row>
    <row r="596" customFormat="false" ht="14.25" hidden="false" customHeight="false" outlineLevel="0" collapsed="false">
      <c r="A596" s="1" t="s">
        <v>690</v>
      </c>
    </row>
    <row r="597" customFormat="false" ht="14.25" hidden="false" customHeight="false" outlineLevel="0" collapsed="false">
      <c r="A597" s="1" t="s">
        <v>691</v>
      </c>
    </row>
    <row r="598" customFormat="false" ht="14.25" hidden="false" customHeight="false" outlineLevel="0" collapsed="false">
      <c r="A598" s="1" t="s">
        <v>692</v>
      </c>
    </row>
    <row r="599" customFormat="false" ht="14.25" hidden="false" customHeight="false" outlineLevel="0" collapsed="false">
      <c r="A599" s="1" t="s">
        <v>693</v>
      </c>
    </row>
    <row r="600" customFormat="false" ht="14.25" hidden="false" customHeight="false" outlineLevel="0" collapsed="false">
      <c r="A600" s="1" t="s">
        <v>694</v>
      </c>
    </row>
    <row r="601" customFormat="false" ht="14.25" hidden="false" customHeight="false" outlineLevel="0" collapsed="false">
      <c r="A601" s="1" t="s">
        <v>695</v>
      </c>
    </row>
    <row r="602" customFormat="false" ht="14.25" hidden="false" customHeight="false" outlineLevel="0" collapsed="false">
      <c r="A602" s="1" t="s">
        <v>696</v>
      </c>
    </row>
    <row r="603" customFormat="false" ht="14.25" hidden="false" customHeight="false" outlineLevel="0" collapsed="false">
      <c r="A603" s="1" t="s">
        <v>697</v>
      </c>
    </row>
    <row r="604" customFormat="false" ht="14.25" hidden="false" customHeight="false" outlineLevel="0" collapsed="false">
      <c r="A604" s="1" t="s">
        <v>698</v>
      </c>
    </row>
    <row r="605" customFormat="false" ht="14.25" hidden="false" customHeight="false" outlineLevel="0" collapsed="false">
      <c r="A605" s="1" t="s">
        <v>699</v>
      </c>
    </row>
    <row r="606" customFormat="false" ht="14.25" hidden="false" customHeight="false" outlineLevel="0" collapsed="false">
      <c r="A606" s="1" t="s">
        <v>700</v>
      </c>
    </row>
    <row r="607" customFormat="false" ht="14.25" hidden="false" customHeight="false" outlineLevel="0" collapsed="false">
      <c r="A607" s="1" t="s">
        <v>701</v>
      </c>
    </row>
    <row r="608" customFormat="false" ht="14.25" hidden="false" customHeight="false" outlineLevel="0" collapsed="false">
      <c r="A608" s="1" t="s">
        <v>702</v>
      </c>
    </row>
    <row r="609" customFormat="false" ht="14.25" hidden="false" customHeight="false" outlineLevel="0" collapsed="false">
      <c r="A609" s="1" t="s">
        <v>703</v>
      </c>
    </row>
    <row r="610" customFormat="false" ht="14.25" hidden="false" customHeight="false" outlineLevel="0" collapsed="false">
      <c r="A610" s="1" t="s">
        <v>704</v>
      </c>
    </row>
    <row r="611" customFormat="false" ht="14.25" hidden="false" customHeight="false" outlineLevel="0" collapsed="false">
      <c r="A611" s="1" t="s">
        <v>705</v>
      </c>
    </row>
    <row r="612" customFormat="false" ht="14.25" hidden="false" customHeight="false" outlineLevel="0" collapsed="false">
      <c r="A612" s="1" t="s">
        <v>706</v>
      </c>
    </row>
    <row r="613" customFormat="false" ht="14.25" hidden="false" customHeight="false" outlineLevel="0" collapsed="false">
      <c r="A613" s="1" t="s">
        <v>707</v>
      </c>
    </row>
    <row r="614" customFormat="false" ht="14.25" hidden="false" customHeight="false" outlineLevel="0" collapsed="false">
      <c r="A614" s="1" t="s">
        <v>708</v>
      </c>
    </row>
    <row r="615" customFormat="false" ht="14.25" hidden="false" customHeight="false" outlineLevel="0" collapsed="false">
      <c r="A615" s="1" t="s">
        <v>709</v>
      </c>
    </row>
    <row r="616" customFormat="false" ht="14.25" hidden="false" customHeight="false" outlineLevel="0" collapsed="false">
      <c r="A616" s="1" t="s">
        <v>710</v>
      </c>
    </row>
    <row r="617" customFormat="false" ht="14.25" hidden="false" customHeight="false" outlineLevel="0" collapsed="false">
      <c r="A617" s="1" t="s">
        <v>711</v>
      </c>
    </row>
    <row r="618" customFormat="false" ht="14.25" hidden="false" customHeight="false" outlineLevel="0" collapsed="false">
      <c r="A618" s="1" t="s">
        <v>712</v>
      </c>
    </row>
    <row r="619" customFormat="false" ht="14.25" hidden="false" customHeight="false" outlineLevel="0" collapsed="false">
      <c r="A619" s="1" t="s">
        <v>713</v>
      </c>
    </row>
    <row r="620" customFormat="false" ht="14.25" hidden="false" customHeight="false" outlineLevel="0" collapsed="false">
      <c r="A620" s="1" t="s">
        <v>714</v>
      </c>
    </row>
    <row r="621" customFormat="false" ht="14.25" hidden="false" customHeight="false" outlineLevel="0" collapsed="false">
      <c r="A621" s="1" t="s">
        <v>715</v>
      </c>
    </row>
    <row r="622" customFormat="false" ht="14.25" hidden="false" customHeight="false" outlineLevel="0" collapsed="false">
      <c r="A622" s="1" t="s">
        <v>716</v>
      </c>
    </row>
    <row r="623" customFormat="false" ht="14.25" hidden="false" customHeight="false" outlineLevel="0" collapsed="false">
      <c r="A623" s="1" t="s">
        <v>717</v>
      </c>
    </row>
    <row r="624" customFormat="false" ht="14.25" hidden="false" customHeight="false" outlineLevel="0" collapsed="false">
      <c r="A624" s="1" t="s">
        <v>718</v>
      </c>
    </row>
    <row r="625" customFormat="false" ht="14.25" hidden="false" customHeight="false" outlineLevel="0" collapsed="false">
      <c r="A625" s="1" t="s">
        <v>719</v>
      </c>
    </row>
    <row r="626" customFormat="false" ht="14.25" hidden="false" customHeight="false" outlineLevel="0" collapsed="false">
      <c r="A626" s="1" t="s">
        <v>720</v>
      </c>
    </row>
    <row r="627" customFormat="false" ht="14.25" hidden="false" customHeight="false" outlineLevel="0" collapsed="false">
      <c r="A627" s="1" t="s">
        <v>721</v>
      </c>
    </row>
    <row r="628" customFormat="false" ht="14.25" hidden="false" customHeight="false" outlineLevel="0" collapsed="false">
      <c r="A628" s="1" t="s">
        <v>722</v>
      </c>
    </row>
    <row r="629" customFormat="false" ht="14.25" hidden="false" customHeight="false" outlineLevel="0" collapsed="false">
      <c r="A629" s="1" t="s">
        <v>723</v>
      </c>
    </row>
    <row r="630" customFormat="false" ht="14.25" hidden="false" customHeight="false" outlineLevel="0" collapsed="false">
      <c r="A630" s="1" t="s">
        <v>724</v>
      </c>
    </row>
    <row r="631" customFormat="false" ht="14.25" hidden="false" customHeight="false" outlineLevel="0" collapsed="false">
      <c r="A631" s="1" t="s">
        <v>725</v>
      </c>
    </row>
    <row r="632" customFormat="false" ht="14.25" hidden="false" customHeight="false" outlineLevel="0" collapsed="false">
      <c r="A632" s="1" t="s">
        <v>726</v>
      </c>
    </row>
    <row r="633" customFormat="false" ht="14.25" hidden="false" customHeight="false" outlineLevel="0" collapsed="false">
      <c r="A633" s="1" t="s">
        <v>727</v>
      </c>
    </row>
    <row r="634" customFormat="false" ht="14.25" hidden="false" customHeight="false" outlineLevel="0" collapsed="false">
      <c r="A634" s="1" t="s">
        <v>728</v>
      </c>
    </row>
    <row r="635" customFormat="false" ht="14.25" hidden="false" customHeight="false" outlineLevel="0" collapsed="false">
      <c r="A635" s="1" t="s">
        <v>729</v>
      </c>
    </row>
    <row r="636" customFormat="false" ht="14.25" hidden="false" customHeight="false" outlineLevel="0" collapsed="false">
      <c r="A636" s="1" t="s">
        <v>730</v>
      </c>
    </row>
    <row r="637" customFormat="false" ht="14.25" hidden="false" customHeight="false" outlineLevel="0" collapsed="false">
      <c r="A637" s="1" t="s">
        <v>731</v>
      </c>
    </row>
    <row r="638" customFormat="false" ht="14.25" hidden="false" customHeight="false" outlineLevel="0" collapsed="false">
      <c r="A638" s="1" t="s">
        <v>732</v>
      </c>
    </row>
    <row r="639" customFormat="false" ht="14.25" hidden="false" customHeight="false" outlineLevel="0" collapsed="false">
      <c r="A639" s="1" t="s">
        <v>733</v>
      </c>
    </row>
    <row r="640" customFormat="false" ht="14.25" hidden="false" customHeight="false" outlineLevel="0" collapsed="false">
      <c r="A640" s="1" t="s">
        <v>734</v>
      </c>
    </row>
    <row r="641" customFormat="false" ht="14.25" hidden="false" customHeight="false" outlineLevel="0" collapsed="false">
      <c r="A641" s="1" t="s">
        <v>735</v>
      </c>
    </row>
    <row r="642" customFormat="false" ht="14.25" hidden="false" customHeight="false" outlineLevel="0" collapsed="false">
      <c r="A642" s="1" t="s">
        <v>736</v>
      </c>
    </row>
    <row r="643" customFormat="false" ht="14.25" hidden="false" customHeight="false" outlineLevel="0" collapsed="false">
      <c r="A643" s="1" t="s">
        <v>737</v>
      </c>
    </row>
    <row r="644" customFormat="false" ht="14.25" hidden="false" customHeight="false" outlineLevel="0" collapsed="false">
      <c r="A644" s="1" t="s">
        <v>738</v>
      </c>
    </row>
    <row r="645" customFormat="false" ht="14.25" hidden="false" customHeight="false" outlineLevel="0" collapsed="false">
      <c r="A645" s="1" t="s">
        <v>739</v>
      </c>
    </row>
    <row r="646" customFormat="false" ht="14.25" hidden="false" customHeight="false" outlineLevel="0" collapsed="false">
      <c r="A646" s="1" t="s">
        <v>740</v>
      </c>
    </row>
    <row r="647" customFormat="false" ht="14.25" hidden="false" customHeight="false" outlineLevel="0" collapsed="false">
      <c r="A647" s="1" t="s">
        <v>741</v>
      </c>
    </row>
    <row r="648" customFormat="false" ht="14.25" hidden="false" customHeight="false" outlineLevel="0" collapsed="false">
      <c r="A648" s="1" t="s">
        <v>742</v>
      </c>
    </row>
    <row r="649" customFormat="false" ht="14.25" hidden="false" customHeight="false" outlineLevel="0" collapsed="false">
      <c r="A649" s="1" t="s">
        <v>743</v>
      </c>
    </row>
    <row r="650" customFormat="false" ht="14.25" hidden="false" customHeight="false" outlineLevel="0" collapsed="false">
      <c r="A650" s="1" t="s">
        <v>744</v>
      </c>
    </row>
    <row r="651" customFormat="false" ht="14.25" hidden="false" customHeight="false" outlineLevel="0" collapsed="false">
      <c r="A651" s="1" t="s">
        <v>745</v>
      </c>
    </row>
    <row r="652" customFormat="false" ht="14.25" hidden="false" customHeight="false" outlineLevel="0" collapsed="false">
      <c r="A652" s="1" t="s">
        <v>746</v>
      </c>
    </row>
    <row r="653" customFormat="false" ht="14.25" hidden="false" customHeight="false" outlineLevel="0" collapsed="false">
      <c r="A653" s="1" t="s">
        <v>747</v>
      </c>
    </row>
    <row r="654" customFormat="false" ht="14.25" hidden="false" customHeight="false" outlineLevel="0" collapsed="false">
      <c r="A654" s="1" t="s">
        <v>748</v>
      </c>
    </row>
    <row r="655" customFormat="false" ht="14.25" hidden="false" customHeight="false" outlineLevel="0" collapsed="false">
      <c r="A655" s="1" t="s">
        <v>749</v>
      </c>
    </row>
    <row r="656" customFormat="false" ht="14.25" hidden="false" customHeight="false" outlineLevel="0" collapsed="false">
      <c r="A656" s="1" t="s">
        <v>750</v>
      </c>
    </row>
    <row r="657" customFormat="false" ht="14.25" hidden="false" customHeight="false" outlineLevel="0" collapsed="false">
      <c r="A657" s="3" t="s">
        <v>751</v>
      </c>
    </row>
    <row r="658" customFormat="false" ht="14.25" hidden="false" customHeight="false" outlineLevel="0" collapsed="false">
      <c r="A658" s="3" t="s">
        <v>752</v>
      </c>
    </row>
    <row r="659" customFormat="false" ht="14.25" hidden="false" customHeight="false" outlineLevel="0" collapsed="false">
      <c r="A659" s="3" t="s">
        <v>753</v>
      </c>
    </row>
    <row r="660" customFormat="false" ht="14.25" hidden="false" customHeight="false" outlineLevel="0" collapsed="false">
      <c r="A660" s="3" t="s">
        <v>754</v>
      </c>
    </row>
    <row r="661" customFormat="false" ht="14.25" hidden="false" customHeight="false" outlineLevel="0" collapsed="false">
      <c r="A661" s="3" t="s">
        <v>755</v>
      </c>
    </row>
    <row r="662" customFormat="false" ht="14.25" hidden="false" customHeight="false" outlineLevel="0" collapsed="false">
      <c r="A662" s="3" t="s">
        <v>756</v>
      </c>
    </row>
    <row r="663" customFormat="false" ht="14.25" hidden="false" customHeight="false" outlineLevel="0" collapsed="false">
      <c r="A663" s="3" t="s">
        <v>757</v>
      </c>
    </row>
    <row r="664" customFormat="false" ht="14.25" hidden="false" customHeight="false" outlineLevel="0" collapsed="false">
      <c r="A664" s="3" t="s">
        <v>758</v>
      </c>
    </row>
    <row r="665" customFormat="false" ht="14.25" hidden="false" customHeight="false" outlineLevel="0" collapsed="false">
      <c r="A665" s="3" t="s">
        <v>759</v>
      </c>
    </row>
    <row r="666" customFormat="false" ht="14.25" hidden="false" customHeight="false" outlineLevel="0" collapsed="false">
      <c r="A666" s="4" t="s">
        <v>760</v>
      </c>
    </row>
    <row r="667" customFormat="false" ht="14.25" hidden="false" customHeight="false" outlineLevel="0" collapsed="false">
      <c r="A667" s="4" t="s">
        <v>761</v>
      </c>
    </row>
    <row r="668" customFormat="false" ht="14.25" hidden="false" customHeight="false" outlineLevel="0" collapsed="false">
      <c r="A668" s="4" t="s">
        <v>762</v>
      </c>
    </row>
    <row r="669" customFormat="false" ht="14.25" hidden="false" customHeight="false" outlineLevel="0" collapsed="false">
      <c r="A669" s="2" t="s">
        <v>763</v>
      </c>
    </row>
    <row r="670" customFormat="false" ht="14.25" hidden="false" customHeight="false" outlineLevel="0" collapsed="false">
      <c r="A670" s="4" t="s">
        <v>764</v>
      </c>
    </row>
    <row r="671" customFormat="false" ht="14.25" hidden="false" customHeight="false" outlineLevel="0" collapsed="false">
      <c r="A671" s="4" t="s">
        <v>765</v>
      </c>
    </row>
    <row r="672" customFormat="false" ht="14.25" hidden="false" customHeight="false" outlineLevel="0" collapsed="false">
      <c r="A672" s="5" t="s">
        <v>766</v>
      </c>
    </row>
    <row r="673" customFormat="false" ht="14.25" hidden="false" customHeight="false" outlineLevel="0" collapsed="false">
      <c r="A673" s="5" t="s">
        <v>763</v>
      </c>
    </row>
    <row r="674" customFormat="false" ht="14.25" hidden="false" customHeight="false" outlineLevel="0" collapsed="false">
      <c r="A674" s="5" t="s">
        <v>767</v>
      </c>
    </row>
    <row r="675" customFormat="false" ht="14.25" hidden="false" customHeight="false" outlineLevel="0" collapsed="false">
      <c r="A675" s="2" t="s">
        <v>768</v>
      </c>
    </row>
    <row r="676" customFormat="false" ht="14.25" hidden="false" customHeight="false" outlineLevel="0" collapsed="false">
      <c r="A676" s="6" t="s">
        <v>769</v>
      </c>
    </row>
    <row r="677" customFormat="false" ht="14.25" hidden="false" customHeight="false" outlineLevel="0" collapsed="false">
      <c r="A677" s="6" t="s">
        <v>770</v>
      </c>
    </row>
    <row r="678" customFormat="false" ht="14.25" hidden="false" customHeight="false" outlineLevel="0" collapsed="false">
      <c r="A678" s="7" t="s">
        <v>771</v>
      </c>
    </row>
    <row r="679" customFormat="false" ht="14.25" hidden="false" customHeight="false" outlineLevel="0" collapsed="false">
      <c r="A679" s="7" t="s">
        <v>772</v>
      </c>
    </row>
    <row r="680" customFormat="false" ht="14.25" hidden="false" customHeight="false" outlineLevel="0" collapsed="false">
      <c r="A680" s="7" t="s">
        <v>773</v>
      </c>
    </row>
    <row r="681" customFormat="false" ht="14.25" hidden="false" customHeight="false" outlineLevel="0" collapsed="false">
      <c r="A681" s="7" t="s">
        <v>774</v>
      </c>
    </row>
    <row r="682" customFormat="false" ht="14.25" hidden="false" customHeight="false" outlineLevel="0" collapsed="false">
      <c r="A682" s="7" t="s">
        <v>775</v>
      </c>
    </row>
    <row r="683" customFormat="false" ht="14.25" hidden="false" customHeight="false" outlineLevel="0" collapsed="false">
      <c r="A683" s="7" t="s">
        <v>776</v>
      </c>
    </row>
    <row r="684" customFormat="false" ht="14.25" hidden="false" customHeight="false" outlineLevel="0" collapsed="false">
      <c r="A684" s="7" t="s">
        <v>777</v>
      </c>
    </row>
    <row r="685" customFormat="false" ht="14.25" hidden="false" customHeight="false" outlineLevel="0" collapsed="false">
      <c r="A685" s="7" t="s">
        <v>778</v>
      </c>
    </row>
    <row r="686" customFormat="false" ht="14.25" hidden="false" customHeight="false" outlineLevel="0" collapsed="false">
      <c r="A686" s="1" t="s">
        <v>779</v>
      </c>
    </row>
    <row r="687" customFormat="false" ht="14.25" hidden="false" customHeight="false" outlineLevel="0" collapsed="false">
      <c r="A687" s="1" t="s">
        <v>780</v>
      </c>
    </row>
    <row r="688" customFormat="false" ht="14.25" hidden="false" customHeight="false" outlineLevel="0" collapsed="false">
      <c r="A688" s="1" t="s">
        <v>781</v>
      </c>
    </row>
    <row r="689" customFormat="false" ht="14.25" hidden="false" customHeight="false" outlineLevel="0" collapsed="false">
      <c r="A689" s="1" t="s">
        <v>782</v>
      </c>
    </row>
    <row r="690" customFormat="false" ht="14.25" hidden="false" customHeight="false" outlineLevel="0" collapsed="false">
      <c r="A690" s="1" t="s">
        <v>783</v>
      </c>
    </row>
    <row r="691" customFormat="false" ht="14.25" hidden="false" customHeight="false" outlineLevel="0" collapsed="false">
      <c r="A691" s="7" t="s">
        <v>784</v>
      </c>
    </row>
    <row r="692" customFormat="false" ht="14.25" hidden="false" customHeight="false" outlineLevel="0" collapsed="false">
      <c r="A692" s="1" t="s">
        <v>785</v>
      </c>
    </row>
    <row r="693" customFormat="false" ht="14.25" hidden="false" customHeight="false" outlineLevel="0" collapsed="false">
      <c r="A693" s="7" t="s">
        <v>786</v>
      </c>
    </row>
    <row r="694" customFormat="false" ht="14.25" hidden="false" customHeight="false" outlineLevel="0" collapsed="false">
      <c r="A694" s="1" t="s">
        <v>787</v>
      </c>
    </row>
    <row r="695" customFormat="false" ht="14.25" hidden="false" customHeight="false" outlineLevel="0" collapsed="false">
      <c r="A695" s="1" t="s">
        <v>788</v>
      </c>
    </row>
    <row r="696" customFormat="false" ht="14.25" hidden="false" customHeight="false" outlineLevel="0" collapsed="false">
      <c r="A696" s="8" t="s">
        <v>789</v>
      </c>
    </row>
    <row r="697" customFormat="false" ht="14.25" hidden="false" customHeight="false" outlineLevel="0" collapsed="false">
      <c r="A697" s="2" t="s">
        <v>790</v>
      </c>
    </row>
    <row r="698" customFormat="false" ht="14.25" hidden="false" customHeight="false" outlineLevel="0" collapsed="false">
      <c r="A698" s="2" t="s">
        <v>791</v>
      </c>
    </row>
    <row r="699" customFormat="false" ht="14.25" hidden="false" customHeight="false" outlineLevel="0" collapsed="false">
      <c r="A699" s="9" t="s">
        <v>792</v>
      </c>
    </row>
    <row r="700" customFormat="false" ht="14.25" hidden="false" customHeight="false" outlineLevel="0" collapsed="false">
      <c r="A700" s="9" t="s">
        <v>793</v>
      </c>
    </row>
    <row r="701" customFormat="false" ht="14.25" hidden="false" customHeight="false" outlineLevel="0" collapsed="false">
      <c r="A701" s="9" t="s">
        <v>794</v>
      </c>
    </row>
    <row r="702" customFormat="false" ht="14.25" hidden="false" customHeight="false" outlineLevel="0" collapsed="false">
      <c r="A702" s="9" t="s">
        <v>795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0" t="s">
        <v>796</v>
      </c>
      <c r="B1" s="10" t="s">
        <v>797</v>
      </c>
      <c r="C1" s="10" t="s">
        <v>798</v>
      </c>
      <c r="D1" s="10" t="s">
        <v>799</v>
      </c>
      <c r="E1" s="10" t="s">
        <v>800</v>
      </c>
    </row>
    <row r="2" customFormat="false" ht="15" hidden="false" customHeight="false" outlineLevel="0" collapsed="false">
      <c r="A2" s="11" t="str">
        <f aca="false">'99'!A2</f>
        <v>Refrigerante Pepsi Zero 2L</v>
      </c>
      <c r="B2" s="11" t="s">
        <v>642</v>
      </c>
      <c r="C2" s="12" t="s">
        <v>801</v>
      </c>
      <c r="D2" s="11" t="s">
        <v>802</v>
      </c>
      <c r="E2" s="13" t="n">
        <f aca="false">IF(B2="","",IFERROR(MATCH(B2,CUSTOS!$A:$A,0),"NÃO ACHOU"))</f>
        <v>548</v>
      </c>
    </row>
    <row r="3" customFormat="false" ht="15" hidden="false" customHeight="false" outlineLevel="0" collapsed="false">
      <c r="A3" s="11" t="str">
        <f aca="false">'99'!A3</f>
        <v>Refrigerante Coca-Cola Lata Com 350ml</v>
      </c>
      <c r="B3" s="11" t="s">
        <v>232</v>
      </c>
      <c r="C3" s="14" t="s">
        <v>803</v>
      </c>
      <c r="D3" s="11"/>
      <c r="E3" s="13" t="n">
        <f aca="false">IF(B3="","",IFERROR(MATCH(B3,CUSTOS!$A:$A,0),"NÃO ACHOU"))</f>
        <v>138</v>
      </c>
    </row>
    <row r="4" customFormat="false" ht="15" hidden="false" customHeight="false" outlineLevel="0" collapsed="false">
      <c r="A4" s="11" t="str">
        <f aca="false">'99'!A4</f>
        <v>Refresco H2oh Limoneto 1,5l</v>
      </c>
      <c r="B4" s="11" t="s">
        <v>114</v>
      </c>
      <c r="C4" s="12" t="s">
        <v>801</v>
      </c>
      <c r="D4" s="11" t="s">
        <v>804</v>
      </c>
      <c r="E4" s="13" t="n">
        <f aca="false">IF(B4="","",IFERROR(MATCH(B4,CUSTOS!$A:$A,0),"NÃO ACHOU"))</f>
        <v>20</v>
      </c>
    </row>
    <row r="5" customFormat="false" ht="15" hidden="false" customHeight="false" outlineLevel="0" collapsed="false">
      <c r="A5" s="11" t="str">
        <f aca="false">'99'!A5</f>
        <v>Suco Del Valle Frut Laranja 1,5L</v>
      </c>
      <c r="B5" s="11" t="s">
        <v>763</v>
      </c>
      <c r="C5" s="14" t="s">
        <v>803</v>
      </c>
      <c r="D5" s="11" t="s">
        <v>805</v>
      </c>
      <c r="E5" s="13" t="n">
        <f aca="false">IF(B5="","",IFERROR(MATCH(B5,CUSTOS!$A:$A,0),"NÃO ACHOU"))</f>
        <v>669</v>
      </c>
    </row>
    <row r="6" customFormat="false" ht="15" hidden="false" customHeight="false" outlineLevel="0" collapsed="false">
      <c r="A6" s="11" t="str">
        <f aca="false">'99'!A6</f>
        <v>Refrigerante Fanta Laranja 350ML</v>
      </c>
      <c r="B6" s="11" t="s">
        <v>235</v>
      </c>
      <c r="C6" s="14" t="s">
        <v>803</v>
      </c>
      <c r="D6" s="11"/>
      <c r="E6" s="13" t="n">
        <f aca="false">IF(B6="","",IFERROR(MATCH(B6,CUSTOS!$A:$A,0),"NÃO ACHOU"))</f>
        <v>141</v>
      </c>
    </row>
    <row r="7" customFormat="false" ht="15" hidden="false" customHeight="false" outlineLevel="0" collapsed="false">
      <c r="A7" s="11" t="str">
        <f aca="false">'99'!A7</f>
        <v>Refrigerante Guaraná Antarctica Zero 350ML</v>
      </c>
      <c r="B7" s="11" t="s">
        <v>237</v>
      </c>
      <c r="C7" s="14" t="s">
        <v>803</v>
      </c>
      <c r="D7" s="11"/>
      <c r="E7" s="13" t="n">
        <f aca="false">IF(B7="","",IFERROR(MATCH(B7,CUSTOS!$A:$A,0),"NÃO ACHOU"))</f>
        <v>143</v>
      </c>
    </row>
    <row r="8" customFormat="false" ht="15" hidden="false" customHeight="false" outlineLevel="0" collapsed="false">
      <c r="A8" s="11" t="str">
        <f aca="false">'99'!A8</f>
        <v>Cerveja Heineken Garrafa 330ml</v>
      </c>
      <c r="B8" s="11" t="s">
        <v>189</v>
      </c>
      <c r="C8" s="14" t="s">
        <v>803</v>
      </c>
      <c r="D8" s="11"/>
      <c r="E8" s="13" t="n">
        <f aca="false">IF(B8="","",IFERROR(MATCH(B8,CUSTOS!$A:$A,0),"NÃO ACHOU"))</f>
        <v>95</v>
      </c>
    </row>
    <row r="9" customFormat="false" ht="15" hidden="false" customHeight="false" outlineLevel="0" collapsed="false">
      <c r="A9" s="11" t="str">
        <f aca="false">'99'!A9</f>
        <v>Whisky Escocês White Horse 1L</v>
      </c>
      <c r="B9" s="11" t="s">
        <v>296</v>
      </c>
      <c r="C9" s="14" t="s">
        <v>803</v>
      </c>
      <c r="D9" s="11"/>
      <c r="E9" s="13" t="n">
        <f aca="false">IF(B9="","",IFERROR(MATCH(B9,CUSTOS!$A:$A,0),"NÃO ACHOU"))</f>
        <v>202</v>
      </c>
    </row>
    <row r="10" customFormat="false" ht="15" hidden="false" customHeight="false" outlineLevel="0" collapsed="false">
      <c r="A10" s="11" t="str">
        <f aca="false">'99'!A10</f>
        <v>Rum Bacardí Carta Blanca 980ML</v>
      </c>
      <c r="B10" s="11" t="s">
        <v>172</v>
      </c>
      <c r="C10" s="14" t="s">
        <v>803</v>
      </c>
      <c r="D10" s="11" t="s">
        <v>806</v>
      </c>
      <c r="E10" s="13" t="n">
        <f aca="false">IF(B10="","",IFERROR(MATCH(B10,CUSTOS!$A:$A,0),"NÃO ACHOU"))</f>
        <v>78</v>
      </c>
    </row>
    <row r="11" customFormat="false" ht="15" hidden="false" customHeight="false" outlineLevel="0" collapsed="false">
      <c r="A11" s="11" t="str">
        <f aca="false">'99'!A11</f>
        <v>Vinho Chileno Chilano Cabernet Garrafa com 750ml</v>
      </c>
      <c r="B11" s="11" t="s">
        <v>258</v>
      </c>
      <c r="C11" s="14" t="s">
        <v>803</v>
      </c>
      <c r="D11" s="11"/>
      <c r="E11" s="13" t="n">
        <f aca="false">IF(B11="","",IFERROR(MATCH(B11,CUSTOS!$A:$A,0),"NÃO ACHOU"))</f>
        <v>164</v>
      </c>
    </row>
    <row r="12" customFormat="false" ht="15" hidden="false" customHeight="false" outlineLevel="0" collapsed="false">
      <c r="A12" s="11" t="str">
        <f aca="false">'99'!A12</f>
        <v>Cerveja Michelob Ultra Superior Light Beer Lata 350ml</v>
      </c>
      <c r="B12" s="11" t="s">
        <v>772</v>
      </c>
      <c r="C12" s="14" t="s">
        <v>803</v>
      </c>
      <c r="D12" s="11" t="s">
        <v>807</v>
      </c>
      <c r="E12" s="13" t="n">
        <f aca="false">IF(B12="","",IFERROR(MATCH(B12,CUSTOS!$A:$A,0),"NÃO ACHOU"))</f>
        <v>679</v>
      </c>
    </row>
    <row r="13" customFormat="false" ht="15" hidden="false" customHeight="false" outlineLevel="0" collapsed="false">
      <c r="A13" s="11" t="str">
        <f aca="false">'99'!A13</f>
        <v>Vodka Absolut - 1 Litro</v>
      </c>
      <c r="B13" s="11" t="s">
        <v>280</v>
      </c>
      <c r="C13" s="14" t="s">
        <v>803</v>
      </c>
      <c r="D13" s="11"/>
      <c r="E13" s="13" t="n">
        <f aca="false">IF(B13="","",IFERROR(MATCH(B13,CUSTOS!$A:$A,0),"NÃO ACHOU"))</f>
        <v>186</v>
      </c>
    </row>
    <row r="14" customFormat="false" ht="15" hidden="false" customHeight="false" outlineLevel="0" collapsed="false">
      <c r="A14" s="11" t="str">
        <f aca="false">'99'!A14</f>
        <v>Vinho Por Alandra Bco 750Ml</v>
      </c>
      <c r="B14" s="11" t="s">
        <v>342</v>
      </c>
      <c r="C14" s="14" t="s">
        <v>803</v>
      </c>
      <c r="D14" s="11"/>
      <c r="E14" s="13" t="n">
        <f aca="false">IF(B14="","",IFERROR(MATCH(B14,CUSTOS!$A:$A,0),"NÃO ACHOU"))</f>
        <v>248</v>
      </c>
    </row>
    <row r="15" customFormat="false" ht="15" hidden="false" customHeight="false" outlineLevel="0" collapsed="false">
      <c r="A15" s="11" t="str">
        <f aca="false">'99'!A15</f>
        <v>Vinho Chi Stacarolina Rsvd Rose 750Ml</v>
      </c>
      <c r="B15" s="11" t="s">
        <v>663</v>
      </c>
      <c r="C15" s="14" t="s">
        <v>803</v>
      </c>
      <c r="D15" s="11"/>
      <c r="E15" s="13" t="n">
        <f aca="false">IF(B15="","",IFERROR(MATCH(B15,CUSTOS!$A:$A,0),"NÃO ACHOU"))</f>
        <v>569</v>
      </c>
    </row>
    <row r="16" customFormat="false" ht="15" hidden="false" customHeight="false" outlineLevel="0" collapsed="false">
      <c r="A16" s="11" t="str">
        <f aca="false">'99'!A16</f>
        <v>Cerveja Sol Premium Long Neck 330ml</v>
      </c>
      <c r="B16" s="11" t="s">
        <v>196</v>
      </c>
      <c r="C16" s="14" t="s">
        <v>803</v>
      </c>
      <c r="D16" s="11"/>
      <c r="E16" s="13" t="n">
        <f aca="false">IF(B16="","",IFERROR(MATCH(B16,CUSTOS!$A:$A,0),"NÃO ACHOU"))</f>
        <v>102</v>
      </c>
    </row>
    <row r="17" customFormat="false" ht="15" hidden="false" customHeight="false" outlineLevel="0" collapsed="false">
      <c r="A17" s="11" t="str">
        <f aca="false">'99'!A17</f>
        <v>Cerveja Heineken Garrafa 330ml</v>
      </c>
      <c r="B17" s="11" t="s">
        <v>189</v>
      </c>
      <c r="C17" s="14" t="s">
        <v>803</v>
      </c>
      <c r="D17" s="11"/>
      <c r="E17" s="13" t="n">
        <f aca="false">IF(B17="","",IFERROR(MATCH(B17,CUSTOS!$A:$A,0),"NÃO ACHOU"))</f>
        <v>95</v>
      </c>
    </row>
    <row r="18" customFormat="false" ht="15" hidden="false" customHeight="false" outlineLevel="0" collapsed="false">
      <c r="A18" s="11" t="str">
        <f aca="false">'99'!A18</f>
        <v>Bebida Alcoólica Xeque Mate 355ML</v>
      </c>
      <c r="B18" s="11" t="s">
        <v>507</v>
      </c>
      <c r="C18" s="14" t="s">
        <v>803</v>
      </c>
      <c r="D18" s="11"/>
      <c r="E18" s="13" t="n">
        <f aca="false">IF(B18="","",IFERROR(MATCH(B18,CUSTOS!$A:$A,0),"NÃO ACHOU"))</f>
        <v>413</v>
      </c>
    </row>
    <row r="19" customFormat="false" ht="15" hidden="false" customHeight="false" outlineLevel="0" collapsed="false">
      <c r="A19" s="11" t="str">
        <f aca="false">'99'!A19</f>
        <v>Cerveja Corona Long Neck Com 330ml</v>
      </c>
      <c r="B19" s="11" t="s">
        <v>184</v>
      </c>
      <c r="C19" s="14" t="s">
        <v>803</v>
      </c>
      <c r="D19" s="11"/>
      <c r="E19" s="13" t="n">
        <f aca="false">IF(B19="","",IFERROR(MATCH(B19,CUSTOS!$A:$A,0),"NÃO ACHOU"))</f>
        <v>90</v>
      </c>
    </row>
    <row r="20" customFormat="false" ht="15" hidden="false" customHeight="false" outlineLevel="0" collapsed="false">
      <c r="A20" s="11" t="str">
        <f aca="false">'99'!A20</f>
        <v>Bebida Energética Red Bull Lata 250 ml</v>
      </c>
      <c r="B20" s="11" t="s">
        <v>207</v>
      </c>
      <c r="C20" s="14" t="s">
        <v>803</v>
      </c>
      <c r="D20" s="11"/>
      <c r="E20" s="13" t="n">
        <f aca="false">IF(B20="","",IFERROR(MATCH(B20,CUSTOS!$A:$A,0),"NÃO ACHOU"))</f>
        <v>113</v>
      </c>
    </row>
    <row r="21" customFormat="false" ht="15" hidden="false" customHeight="false" outlineLevel="0" collapsed="false">
      <c r="A21" s="11" t="str">
        <f aca="false">'99'!A21</f>
        <v>Gelo Para Drink Coco Leve 190G</v>
      </c>
      <c r="B21" s="11" t="s">
        <v>781</v>
      </c>
      <c r="C21" s="12" t="s">
        <v>801</v>
      </c>
      <c r="D21" s="11" t="s">
        <v>808</v>
      </c>
      <c r="E21" s="13" t="n">
        <f aca="false">IF(B21="","",IFERROR(MATCH(B21,CUSTOS!$A:$A,0),"NÃO ACHOU"))</f>
        <v>688</v>
      </c>
    </row>
    <row r="22" customFormat="false" ht="15" hidden="false" customHeight="false" outlineLevel="0" collapsed="false">
      <c r="A22" s="11" t="str">
        <f aca="false">'99'!A22</f>
        <v>Refrigerante Guaraná Antarctica 2L</v>
      </c>
      <c r="B22" s="11" t="s">
        <v>236</v>
      </c>
      <c r="C22" s="14" t="s">
        <v>803</v>
      </c>
      <c r="D22" s="11"/>
      <c r="E22" s="13" t="n">
        <f aca="false">IF(B22="","",IFERROR(MATCH(B22,CUSTOS!$A:$A,0),"NÃO ACHOU"))</f>
        <v>142</v>
      </c>
    </row>
    <row r="23" customFormat="false" ht="15" hidden="false" customHeight="false" outlineLevel="0" collapsed="false">
      <c r="A23" s="11" t="str">
        <f aca="false">'99'!A23</f>
        <v>Whiskey Jack Daniel's 1L</v>
      </c>
      <c r="B23" s="11" t="s">
        <v>291</v>
      </c>
      <c r="C23" s="14" t="s">
        <v>803</v>
      </c>
      <c r="D23" s="11"/>
      <c r="E23" s="13" t="n">
        <f aca="false">IF(B23="","",IFERROR(MATCH(B23,CUSTOS!$A:$A,0),"NÃO ACHOU"))</f>
        <v>197</v>
      </c>
    </row>
    <row r="24" customFormat="false" ht="15" hidden="false" customHeight="false" outlineLevel="0" collapsed="false">
      <c r="A24" s="11" t="str">
        <f aca="false">'99'!A24</f>
        <v>Enos Gimenez Riili Bu Hermanos Cabernet Franc - Vinho Fino Tinto</v>
      </c>
      <c r="B24" s="11" t="s">
        <v>324</v>
      </c>
      <c r="C24" s="12" t="s">
        <v>801</v>
      </c>
      <c r="D24" s="11" t="s">
        <v>809</v>
      </c>
      <c r="E24" s="13" t="n">
        <f aca="false">IF(B24="","",IFERROR(MATCH(B24,CUSTOS!$A:$A,0),"NÃO ACHOU"))</f>
        <v>230</v>
      </c>
    </row>
    <row r="25" customFormat="false" ht="15" hidden="false" customHeight="false" outlineLevel="0" collapsed="false">
      <c r="A25" s="11" t="str">
        <f aca="false">'99'!A25</f>
        <v>Vinho Arg Cordero Con Piel Lobo Rs 750Ml</v>
      </c>
      <c r="B25" s="11" t="s">
        <v>365</v>
      </c>
      <c r="C25" s="14" t="s">
        <v>803</v>
      </c>
      <c r="D25" s="11"/>
      <c r="E25" s="13" t="n">
        <f aca="false">IF(B25="","",IFERROR(MATCH(B25,CUSTOS!$A:$A,0),"NÃO ACHOU"))</f>
        <v>271</v>
      </c>
    </row>
    <row r="26" customFormat="false" ht="15" hidden="false" customHeight="false" outlineLevel="0" collapsed="false">
      <c r="A26" s="11" t="str">
        <f aca="false">'99'!A26</f>
        <v>Refresco H2oh Limoneto 1,5l</v>
      </c>
      <c r="B26" s="11" t="s">
        <v>114</v>
      </c>
      <c r="C26" s="12" t="s">
        <v>801</v>
      </c>
      <c r="D26" s="11" t="s">
        <v>804</v>
      </c>
      <c r="E26" s="13" t="n">
        <f aca="false">IF(B26="","",IFERROR(MATCH(B26,CUSTOS!$A:$A,0),"NÃO ACHOU"))</f>
        <v>20</v>
      </c>
    </row>
    <row r="27" customFormat="false" ht="15" hidden="false" customHeight="false" outlineLevel="0" collapsed="false">
      <c r="A27" s="11" t="str">
        <f aca="false">'99'!A27</f>
        <v>Refrigerante Pepsi Zero 2L</v>
      </c>
      <c r="B27" s="11" t="s">
        <v>642</v>
      </c>
      <c r="C27" s="12" t="s">
        <v>801</v>
      </c>
      <c r="D27" s="11" t="s">
        <v>802</v>
      </c>
      <c r="E27" s="13" t="n">
        <f aca="false">IF(B27="","",IFERROR(MATCH(B27,CUSTOS!$A:$A,0),"NÃO ACHOU"))</f>
        <v>548</v>
      </c>
    </row>
    <row r="28" customFormat="false" ht="15" hidden="false" customHeight="false" outlineLevel="0" collapsed="false">
      <c r="A28" s="11" t="str">
        <f aca="false">'99'!A28</f>
        <v>Refrigerante Pepsi Cola 2L</v>
      </c>
      <c r="B28" s="11" t="s">
        <v>142</v>
      </c>
      <c r="C28" s="14" t="s">
        <v>803</v>
      </c>
      <c r="D28" s="11"/>
      <c r="E28" s="13" t="n">
        <f aca="false">IF(B28="","",IFERROR(MATCH(B28,CUSTOS!$A:$A,0),"NÃO ACHOU"))</f>
        <v>48</v>
      </c>
    </row>
    <row r="29" customFormat="false" ht="15" hidden="false" customHeight="false" outlineLevel="0" collapsed="false">
      <c r="A29" s="11" t="str">
        <f aca="false">'99'!A29</f>
        <v>Cerveja Corona Pilsen Lata 350ml</v>
      </c>
      <c r="B29" s="11" t="s">
        <v>689</v>
      </c>
      <c r="C29" s="14" t="s">
        <v>803</v>
      </c>
      <c r="D29" s="11"/>
      <c r="E29" s="13" t="n">
        <f aca="false">IF(B29="","",IFERROR(MATCH(B29,CUSTOS!$A:$A,0),"NÃO ACHOU"))</f>
        <v>595</v>
      </c>
    </row>
    <row r="30" customFormat="false" ht="15" hidden="false" customHeight="false" outlineLevel="0" collapsed="false">
      <c r="A30" s="11" t="str">
        <f aca="false">'99'!A30</f>
        <v>Cerveja Amstel Lager Lata 350ml</v>
      </c>
      <c r="B30" s="11" t="s">
        <v>176</v>
      </c>
      <c r="C30" s="14" t="s">
        <v>803</v>
      </c>
      <c r="D30" s="11"/>
      <c r="E30" s="13" t="n">
        <f aca="false">IF(B30="","",IFERROR(MATCH(B30,CUSTOS!$A:$A,0),"NÃO ACHOU"))</f>
        <v>82</v>
      </c>
    </row>
    <row r="31" customFormat="false" ht="15" hidden="false" customHeight="false" outlineLevel="0" collapsed="false">
      <c r="A31" s="11" t="str">
        <f aca="false">'99'!A31</f>
        <v>Cerveja Brahma Duplo Malte Lata Com 350ml</v>
      </c>
      <c r="B31" s="11" t="s">
        <v>178</v>
      </c>
      <c r="C31" s="14" t="s">
        <v>803</v>
      </c>
      <c r="D31" s="11"/>
      <c r="E31" s="13" t="n">
        <f aca="false">IF(B31="","",IFERROR(MATCH(B31,CUSTOS!$A:$A,0),"NÃO ACHOU"))</f>
        <v>84</v>
      </c>
    </row>
    <row r="32" customFormat="false" ht="15" hidden="false" customHeight="false" outlineLevel="0" collapsed="false">
      <c r="A32" s="11" t="str">
        <f aca="false">'99'!A32</f>
        <v>Refresco H2oh Limoneto 1,5l</v>
      </c>
      <c r="B32" s="11" t="s">
        <v>114</v>
      </c>
      <c r="C32" s="12" t="s">
        <v>801</v>
      </c>
      <c r="D32" s="11" t="s">
        <v>804</v>
      </c>
      <c r="E32" s="13" t="n">
        <f aca="false">IF(B32="","",IFERROR(MATCH(B32,CUSTOS!$A:$A,0),"NÃO ACHOU"))</f>
        <v>20</v>
      </c>
    </row>
    <row r="33" customFormat="false" ht="15" hidden="false" customHeight="false" outlineLevel="0" collapsed="false">
      <c r="A33" s="11" t="str">
        <f aca="false">'99'!A33</f>
        <v>Energético Baly FrutasTropicais 2L</v>
      </c>
      <c r="B33" s="11" t="s">
        <v>203</v>
      </c>
      <c r="C33" s="14" t="s">
        <v>803</v>
      </c>
      <c r="D33" s="11"/>
      <c r="E33" s="13" t="n">
        <f aca="false">IF(B33="","",IFERROR(MATCH(B33,CUSTOS!$A:$A,0),"NÃO ACHOU"))</f>
        <v>109</v>
      </c>
    </row>
    <row r="34" customFormat="false" ht="15" hidden="false" customHeight="false" outlineLevel="0" collapsed="false">
      <c r="A34" s="11" t="str">
        <f aca="false">'99'!A34</f>
        <v>Whisky Chivas Regal 12 Anos 1L</v>
      </c>
      <c r="B34" s="11" t="s">
        <v>289</v>
      </c>
      <c r="C34" s="14" t="s">
        <v>803</v>
      </c>
      <c r="D34" s="11"/>
      <c r="E34" s="13" t="n">
        <f aca="false">IF(B34="","",IFERROR(MATCH(B34,CUSTOS!$A:$A,0),"NÃO ACHOU"))</f>
        <v>195</v>
      </c>
    </row>
    <row r="35" customFormat="false" ht="15" hidden="false" customHeight="false" outlineLevel="0" collapsed="false">
      <c r="A35" s="11" t="str">
        <f aca="false">'99'!A35</f>
        <v>Licor Ballena Coco 750ML</v>
      </c>
      <c r="B35" s="11" t="s">
        <v>658</v>
      </c>
      <c r="C35" s="14" t="s">
        <v>803</v>
      </c>
      <c r="D35" s="11"/>
      <c r="E35" s="13" t="n">
        <f aca="false">IF(B35="","",IFERROR(MATCH(B35,CUSTOS!$A:$A,0),"NÃO ACHOU"))</f>
        <v>564</v>
      </c>
    </row>
    <row r="36" customFormat="false" ht="15" hidden="false" customHeight="false" outlineLevel="0" collapsed="false">
      <c r="A36" s="11" t="str">
        <f aca="false">'99'!A36</f>
        <v>Fireball 750ml</v>
      </c>
      <c r="B36" s="11" t="s">
        <v>290</v>
      </c>
      <c r="C36" s="14" t="s">
        <v>803</v>
      </c>
      <c r="D36" s="11"/>
      <c r="E36" s="13" t="n">
        <f aca="false">IF(B36="","",IFERROR(MATCH(B36,CUSTOS!$A:$A,0),"NÃO ACHOU"))</f>
        <v>196</v>
      </c>
    </row>
    <row r="37" customFormat="false" ht="15" hidden="false" customHeight="false" outlineLevel="0" collapsed="false">
      <c r="A37" s="11" t="str">
        <f aca="false">'99'!A37</f>
        <v>Tequila Jose Cuervo Ouro Especial 750 ml</v>
      </c>
      <c r="B37" s="11" t="s">
        <v>175</v>
      </c>
      <c r="C37" s="14" t="s">
        <v>803</v>
      </c>
      <c r="D37" s="11"/>
      <c r="E37" s="13" t="n">
        <f aca="false">IF(B37="","",IFERROR(MATCH(B37,CUSTOS!$A:$A,0),"NÃO ACHOU"))</f>
        <v>81</v>
      </c>
    </row>
    <row r="38" customFormat="false" ht="15" hidden="false" customHeight="false" outlineLevel="0" collapsed="false">
      <c r="A38" s="11" t="str">
        <f aca="false">'99'!A38</f>
        <v>Gelo Fast Embalagem 5Kg</v>
      </c>
      <c r="B38" s="11" t="s">
        <v>468</v>
      </c>
      <c r="C38" s="14" t="s">
        <v>803</v>
      </c>
      <c r="D38" s="11"/>
      <c r="E38" s="13" t="n">
        <f aca="false">IF(B38="","",IFERROR(MATCH(B38,CUSTOS!$A:$A,0),"NÃO ACHOU"))</f>
        <v>374</v>
      </c>
    </row>
    <row r="39" customFormat="false" ht="15" hidden="false" customHeight="false" outlineLevel="0" collapsed="false">
      <c r="A39" s="11" t="str">
        <f aca="false">'99'!A39</f>
        <v>Refresco H2oh Limão Pet com 1,5l</v>
      </c>
      <c r="B39" s="11" t="s">
        <v>140</v>
      </c>
      <c r="C39" s="14" t="s">
        <v>803</v>
      </c>
      <c r="D39" s="11"/>
      <c r="E39" s="13" t="n">
        <f aca="false">IF(B39="","",IFERROR(MATCH(B39,CUSTOS!$A:$A,0),"NÃO ACHOU"))</f>
        <v>46</v>
      </c>
    </row>
    <row r="40" customFormat="false" ht="15" hidden="false" customHeight="false" outlineLevel="0" collapsed="false">
      <c r="A40" s="11" t="str">
        <f aca="false">'99'!A40</f>
        <v>Cerveja Eisenbahn Pilsen Lata 350ml</v>
      </c>
      <c r="B40" s="11" t="s">
        <v>777</v>
      </c>
      <c r="C40" s="14" t="s">
        <v>803</v>
      </c>
      <c r="D40" s="11"/>
      <c r="E40" s="13" t="n">
        <f aca="false">IF(B40="","",IFERROR(MATCH(B40,CUSTOS!$A:$A,0),"NÃO ACHOU"))</f>
        <v>684</v>
      </c>
    </row>
    <row r="41" customFormat="false" ht="15" hidden="false" customHeight="false" outlineLevel="0" collapsed="false">
      <c r="A41" s="11" t="str">
        <f aca="false">'99'!A41</f>
        <v>Salgadinho Elma Chips Batata Ruffles Cebola e salsa 68G</v>
      </c>
      <c r="B41" s="11" t="s">
        <v>102</v>
      </c>
      <c r="C41" s="14" t="s">
        <v>803</v>
      </c>
      <c r="D41" s="11"/>
      <c r="E41" s="13" t="n">
        <f aca="false">IF(B41="","",IFERROR(MATCH(B41,CUSTOS!$A:$A,0),"NÃO ACHOU"))</f>
        <v>8</v>
      </c>
    </row>
    <row r="42" customFormat="false" ht="15" hidden="false" customHeight="false" outlineLevel="0" collapsed="false">
      <c r="A42" s="11" t="str">
        <f aca="false">'99'!A42</f>
        <v>Água Mineral Minalba Com gás 1.5 L</v>
      </c>
      <c r="B42" s="11" t="s">
        <v>126</v>
      </c>
      <c r="C42" s="14" t="s">
        <v>803</v>
      </c>
      <c r="D42" s="11"/>
      <c r="E42" s="13" t="n">
        <f aca="false">IF(B42="","",IFERROR(MATCH(B42,CUSTOS!$A:$A,0),"NÃO ACHOU"))</f>
        <v>32</v>
      </c>
    </row>
    <row r="43" customFormat="false" ht="15" hidden="false" customHeight="false" outlineLevel="0" collapsed="false">
      <c r="A43" s="11" t="str">
        <f aca="false">'99'!A43</f>
        <v>Bebida Alcoólica Mista Smirnoff Ice 269ML</v>
      </c>
      <c r="B43" s="11" t="s">
        <v>123</v>
      </c>
      <c r="C43" s="14" t="s">
        <v>803</v>
      </c>
      <c r="D43" s="11"/>
      <c r="E43" s="13" t="n">
        <f aca="false">IF(B43="","",IFERROR(MATCH(B43,CUSTOS!$A:$A,0),"NÃO ACHOU"))</f>
        <v>29</v>
      </c>
    </row>
    <row r="44" customFormat="false" ht="15" hidden="false" customHeight="false" outlineLevel="0" collapsed="false">
      <c r="A44" s="11" t="str">
        <f aca="false">'99'!A44</f>
        <v>Espumante Cava Freixenet Demi-Sec Branco Macabeo Xarel-Lo E Parellada Carta Nevada 750ml</v>
      </c>
      <c r="B44" s="11" t="s">
        <v>764</v>
      </c>
      <c r="C44" s="14" t="s">
        <v>803</v>
      </c>
      <c r="D44" s="11"/>
      <c r="E44" s="13" t="n">
        <f aca="false">IF(B44="","",IFERROR(MATCH(B44,CUSTOS!$A:$A,0),"NÃO ACHOU"))</f>
        <v>670</v>
      </c>
    </row>
    <row r="45" customFormat="false" ht="15" hidden="false" customHeight="false" outlineLevel="0" collapsed="false">
      <c r="A45" s="11" t="str">
        <f aca="false">'99'!A45</f>
        <v>Vinho Chileno Santa Helena Reservado Cabernet Merlot 750ML</v>
      </c>
      <c r="B45" s="11" t="s">
        <v>679</v>
      </c>
      <c r="C45" s="12" t="s">
        <v>801</v>
      </c>
      <c r="D45" s="11" t="s">
        <v>810</v>
      </c>
      <c r="E45" s="13" t="n">
        <f aca="false">IF(B45="","",IFERROR(MATCH(B45,CUSTOS!$A:$A,0),"NÃO ACHOU"))</f>
        <v>585</v>
      </c>
    </row>
    <row r="46" customFormat="false" ht="15" hidden="false" customHeight="false" outlineLevel="0" collapsed="false">
      <c r="A46" s="11" t="str">
        <f aca="false">'99'!A46</f>
        <v>Refresco H2oh Limoneto 1,5l</v>
      </c>
      <c r="B46" s="11" t="s">
        <v>114</v>
      </c>
      <c r="C46" s="12" t="s">
        <v>801</v>
      </c>
      <c r="D46" s="11" t="s">
        <v>804</v>
      </c>
      <c r="E46" s="13" t="n">
        <f aca="false">IF(B46="","",IFERROR(MATCH(B46,CUSTOS!$A:$A,0),"NÃO ACHOU"))</f>
        <v>20</v>
      </c>
    </row>
    <row r="47" customFormat="false" ht="15" hidden="false" customHeight="false" outlineLevel="0" collapsed="false">
      <c r="A47" s="11" t="str">
        <f aca="false">'99'!A47</f>
        <v>Vinho Argentino Trapiche Malbec 750ML</v>
      </c>
      <c r="B47" s="11" t="s">
        <v>249</v>
      </c>
      <c r="C47" s="14" t="s">
        <v>803</v>
      </c>
      <c r="D47" s="11"/>
      <c r="E47" s="13" t="n">
        <f aca="false">IF(B47="","",IFERROR(MATCH(B47,CUSTOS!$A:$A,0),"NÃO ACHOU"))</f>
        <v>155</v>
      </c>
    </row>
    <row r="48" customFormat="false" ht="15" hidden="false" customHeight="false" outlineLevel="0" collapsed="false">
      <c r="A48" s="11" t="str">
        <f aca="false">'99'!A48</f>
        <v>Ice 51 Morango E Laranja 275 ml</v>
      </c>
      <c r="B48" s="11" t="s">
        <v>743</v>
      </c>
      <c r="C48" s="12" t="s">
        <v>801</v>
      </c>
      <c r="D48" s="11" t="s">
        <v>811</v>
      </c>
      <c r="E48" s="13" t="n">
        <f aca="false">IF(B48="","",IFERROR(MATCH(B48,CUSTOS!$A:$A,0),"NÃO ACHOU"))</f>
        <v>649</v>
      </c>
    </row>
    <row r="49" customFormat="false" ht="15" hidden="false" customHeight="false" outlineLevel="0" collapsed="false">
      <c r="A49" s="11" t="str">
        <f aca="false">'99'!A49</f>
        <v>Vinho Arg Chac Chac Malbec Tinto 750Ml</v>
      </c>
      <c r="B49" s="11" t="s">
        <v>733</v>
      </c>
      <c r="C49" s="14" t="s">
        <v>803</v>
      </c>
      <c r="D49" s="11"/>
      <c r="E49" s="13" t="n">
        <f aca="false">IF(B49="","",IFERROR(MATCH(B49,CUSTOS!$A:$A,0),"NÃO ACHOU"))</f>
        <v>639</v>
      </c>
    </row>
    <row r="50" customFormat="false" ht="15" hidden="false" customHeight="false" outlineLevel="0" collapsed="false">
      <c r="A50" s="11" t="str">
        <f aca="false">'99'!A50</f>
        <v>Vinho Tinto Trapiche Vineyards Cabernet Sauvignon 750ml</v>
      </c>
      <c r="B50" s="11" t="s">
        <v>248</v>
      </c>
      <c r="C50" s="14" t="s">
        <v>803</v>
      </c>
      <c r="D50" s="11"/>
      <c r="E50" s="13" t="n">
        <f aca="false">IF(B50="","",IFERROR(MATCH(B50,CUSTOS!$A:$A,0),"NÃO ACHOU"))</f>
        <v>154</v>
      </c>
    </row>
    <row r="51" customFormat="false" ht="15" hidden="false" customHeight="false" outlineLevel="0" collapsed="false">
      <c r="A51" s="11" t="str">
        <f aca="false">'99'!A51</f>
        <v>Cerveja Michelob Ultra Superior Light Beer Lata 350ml</v>
      </c>
      <c r="B51" s="11" t="s">
        <v>772</v>
      </c>
      <c r="C51" s="14" t="s">
        <v>803</v>
      </c>
      <c r="D51" s="11" t="s">
        <v>807</v>
      </c>
      <c r="E51" s="13" t="n">
        <f aca="false">IF(B51="","",IFERROR(MATCH(B51,CUSTOS!$A:$A,0),"NÃO ACHOU"))</f>
        <v>679</v>
      </c>
    </row>
    <row r="52" customFormat="false" ht="15" hidden="false" customHeight="false" outlineLevel="0" collapsed="false">
      <c r="A52" s="11" t="str">
        <f aca="false">'99'!A52</f>
        <v>Vinho Argentino Concha Y Toro Malbec Garrafa Com 750ml</v>
      </c>
      <c r="B52" s="11" t="s">
        <v>540</v>
      </c>
      <c r="C52" s="14" t="s">
        <v>803</v>
      </c>
      <c r="D52" s="11"/>
      <c r="E52" s="13" t="n">
        <f aca="false">IF(B52="","",IFERROR(MATCH(B52,CUSTOS!$A:$A,0),"NÃO ACHOU"))</f>
        <v>446</v>
      </c>
    </row>
    <row r="53" customFormat="false" ht="15" hidden="false" customHeight="false" outlineLevel="0" collapsed="false">
      <c r="A53" s="11" t="str">
        <f aca="false">'99'!A53</f>
        <v>Licor Ballena Garrafa 750ml</v>
      </c>
      <c r="B53" s="11"/>
      <c r="C53" s="15" t="s">
        <v>812</v>
      </c>
      <c r="D53" s="11" t="s">
        <v>813</v>
      </c>
      <c r="E53" s="13" t="str">
        <f aca="false">IF(B53="","",IFERROR(MATCH(B53,CUSTOS!$A:$A,0),"NÃO ACHOU"))</f>
        <v/>
      </c>
    </row>
    <row r="54" customFormat="false" ht="15" hidden="false" customHeight="false" outlineLevel="0" collapsed="false">
      <c r="A54" s="11" t="str">
        <f aca="false">'99'!A54</f>
        <v>Bebida Alcoólica Mista Smirnoff Ice 269ML</v>
      </c>
      <c r="B54" s="11" t="s">
        <v>123</v>
      </c>
      <c r="C54" s="14" t="s">
        <v>803</v>
      </c>
      <c r="D54" s="11"/>
      <c r="E54" s="13" t="n">
        <f aca="false">IF(B54="","",IFERROR(MATCH(B54,CUSTOS!$A:$A,0),"NÃO ACHOU"))</f>
        <v>29</v>
      </c>
    </row>
    <row r="55" customFormat="false" ht="15" hidden="false" customHeight="false" outlineLevel="0" collapsed="false">
      <c r="A55" s="11" t="str">
        <f aca="false">'99'!A55</f>
        <v>Vinho Chileno Casillero Del Diablo Camenere Garrafa Com 750ml</v>
      </c>
      <c r="B55" s="11" t="s">
        <v>578</v>
      </c>
      <c r="C55" s="14" t="s">
        <v>803</v>
      </c>
      <c r="D55" s="11"/>
      <c r="E55" s="13" t="n">
        <f aca="false">IF(B55="","",IFERROR(MATCH(B55,CUSTOS!$A:$A,0),"NÃO ACHOU"))</f>
        <v>484</v>
      </c>
    </row>
    <row r="56" customFormat="false" ht="15" hidden="false" customHeight="false" outlineLevel="0" collapsed="false">
      <c r="A56" s="11" t="str">
        <f aca="false">'99'!A56</f>
        <v>Espumante Salton Demi Sec 750ML</v>
      </c>
      <c r="B56" s="11" t="s">
        <v>378</v>
      </c>
      <c r="C56" s="14" t="s">
        <v>803</v>
      </c>
      <c r="D56" s="11"/>
      <c r="E56" s="13" t="n">
        <f aca="false">IF(B56="","",IFERROR(MATCH(B56,CUSTOS!$A:$A,0),"NÃO ACHOU"))</f>
        <v>284</v>
      </c>
    </row>
    <row r="57" customFormat="false" ht="15" hidden="false" customHeight="false" outlineLevel="0" collapsed="false">
      <c r="A57" s="11" t="str">
        <f aca="false">'99'!A57</f>
        <v>Cerveja Original Lata Com 350ml</v>
      </c>
      <c r="B57" s="11" t="s">
        <v>132</v>
      </c>
      <c r="C57" s="14" t="s">
        <v>803</v>
      </c>
      <c r="D57" s="11"/>
      <c r="E57" s="13" t="n">
        <f aca="false">IF(B57="","",IFERROR(MATCH(B57,CUSTOS!$A:$A,0),"NÃO ACHOU"))</f>
        <v>38</v>
      </c>
    </row>
    <row r="58" customFormat="false" ht="15" hidden="false" customHeight="false" outlineLevel="0" collapsed="false">
      <c r="A58" s="11" t="str">
        <f aca="false">'99'!A58</f>
        <v>Cerveja Heineken Barril 5L</v>
      </c>
      <c r="B58" s="11" t="s">
        <v>722</v>
      </c>
      <c r="C58" s="14" t="s">
        <v>803</v>
      </c>
      <c r="D58" s="11"/>
      <c r="E58" s="13" t="n">
        <f aca="false">IF(B58="","",IFERROR(MATCH(B58,CUSTOS!$A:$A,0),"NÃO ACHOU"))</f>
        <v>628</v>
      </c>
    </row>
    <row r="59" customFormat="false" ht="15" hidden="false" customHeight="false" outlineLevel="0" collapsed="false">
      <c r="A59" s="11" t="str">
        <f aca="false">'99'!A59</f>
        <v>Vinho Chileno Santa Helena Reservado Cabernet Merlot 750ML</v>
      </c>
      <c r="B59" s="11" t="s">
        <v>679</v>
      </c>
      <c r="C59" s="12" t="s">
        <v>801</v>
      </c>
      <c r="D59" s="11" t="s">
        <v>810</v>
      </c>
      <c r="E59" s="13" t="n">
        <f aca="false">IF(B59="","",IFERROR(MATCH(B59,CUSTOS!$A:$A,0),"NÃO ACHOU"))</f>
        <v>585</v>
      </c>
    </row>
    <row r="60" customFormat="false" ht="15" hidden="false" customHeight="false" outlineLevel="0" collapsed="false">
      <c r="A60" s="11" t="str">
        <f aca="false">'99'!A60</f>
        <v>Refrigerante Guaraná Antarctica 2L</v>
      </c>
      <c r="B60" s="11" t="s">
        <v>236</v>
      </c>
      <c r="C60" s="14" t="s">
        <v>803</v>
      </c>
      <c r="D60" s="11"/>
      <c r="E60" s="13" t="n">
        <f aca="false">IF(B60="","",IFERROR(MATCH(B60,CUSTOS!$A:$A,0),"NÃO ACHOU"))</f>
        <v>142</v>
      </c>
    </row>
    <row r="61" customFormat="false" ht="15" hidden="false" customHeight="false" outlineLevel="0" collapsed="false">
      <c r="A61" s="11" t="str">
        <f aca="false">'99'!A61</f>
        <v>Espumante Chandon Rosé Brut Pinot Noir Riesling Itálico Chardonnay Serra Gaúcha 750ml</v>
      </c>
      <c r="B61" s="11" t="s">
        <v>219</v>
      </c>
      <c r="C61" s="14" t="s">
        <v>803</v>
      </c>
      <c r="D61" s="11"/>
      <c r="E61" s="13" t="n">
        <f aca="false">IF(B61="","",IFERROR(MATCH(B61,CUSTOS!$A:$A,0),"NÃO ACHOU"))</f>
        <v>125</v>
      </c>
    </row>
    <row r="62" customFormat="false" ht="15" hidden="false" customHeight="false" outlineLevel="0" collapsed="false">
      <c r="A62" s="11" t="str">
        <f aca="false">'99'!A62</f>
        <v>Cachaça Weber Haus Amburana 700 Ml</v>
      </c>
      <c r="B62" s="11" t="s">
        <v>580</v>
      </c>
      <c r="C62" s="14" t="s">
        <v>803</v>
      </c>
      <c r="D62" s="11"/>
      <c r="E62" s="13" t="n">
        <f aca="false">IF(B62="","",IFERROR(MATCH(B62,CUSTOS!$A:$A,0),"NÃO ACHOU"))</f>
        <v>486</v>
      </c>
    </row>
    <row r="63" customFormat="false" ht="15" hidden="false" customHeight="false" outlineLevel="0" collapsed="false">
      <c r="A63" s="11" t="str">
        <f aca="false">'99'!A63</f>
        <v>Vinho Arg Chac Chac Malbec Tinto 750Ml</v>
      </c>
      <c r="B63" s="11" t="s">
        <v>733</v>
      </c>
      <c r="C63" s="14" t="s">
        <v>803</v>
      </c>
      <c r="D63" s="11"/>
      <c r="E63" s="13" t="n">
        <f aca="false">IF(B63="","",IFERROR(MATCH(B63,CUSTOS!$A:$A,0),"NÃO ACHOU"))</f>
        <v>639</v>
      </c>
    </row>
    <row r="64" customFormat="false" ht="15" hidden="false" customHeight="false" outlineLevel="0" collapsed="false">
      <c r="A64" s="11" t="str">
        <f aca="false">'99'!A64</f>
        <v>Vinho Argentino Trapiche Malbec 750ML</v>
      </c>
      <c r="B64" s="11" t="s">
        <v>249</v>
      </c>
      <c r="C64" s="14" t="s">
        <v>803</v>
      </c>
      <c r="D64" s="11"/>
      <c r="E64" s="13" t="n">
        <f aca="false">IF(B64="","",IFERROR(MATCH(B64,CUSTOS!$A:$A,0),"NÃO ACHOU"))</f>
        <v>155</v>
      </c>
    </row>
    <row r="65" customFormat="false" ht="15" hidden="false" customHeight="false" outlineLevel="0" collapsed="false">
      <c r="A65" s="11" t="str">
        <f aca="false">'99'!A65</f>
        <v>Vinho Chileno Santa Helena Sauvignon Blanc 750ML</v>
      </c>
      <c r="B65" s="11" t="s">
        <v>709</v>
      </c>
      <c r="C65" s="14" t="s">
        <v>803</v>
      </c>
      <c r="D65" s="11"/>
      <c r="E65" s="13" t="n">
        <f aca="false">IF(B65="","",IFERROR(MATCH(B65,CUSTOS!$A:$A,0),"NÃO ACHOU"))</f>
        <v>615</v>
      </c>
    </row>
    <row r="66" customFormat="false" ht="15" hidden="false" customHeight="false" outlineLevel="0" collapsed="false">
      <c r="A66" s="11" t="str">
        <f aca="false">'99'!A66</f>
        <v>Salgadinho Elma Chips Doritos Queijo nacho 120G</v>
      </c>
      <c r="B66" s="11" t="s">
        <v>108</v>
      </c>
      <c r="C66" s="14" t="s">
        <v>803</v>
      </c>
      <c r="D66" s="11"/>
      <c r="E66" s="13" t="n">
        <f aca="false">IF(B66="","",IFERROR(MATCH(B66,CUSTOS!$A:$A,0),"NÃO ACHOU"))</f>
        <v>14</v>
      </c>
    </row>
    <row r="67" customFormat="false" ht="15" hidden="false" customHeight="false" outlineLevel="0" collapsed="false">
      <c r="A67" s="11" t="str">
        <f aca="false">'99'!A67</f>
        <v>Cerveja Original Lata Com 350ml</v>
      </c>
      <c r="B67" s="11" t="s">
        <v>132</v>
      </c>
      <c r="C67" s="14" t="s">
        <v>803</v>
      </c>
      <c r="D67" s="11"/>
      <c r="E67" s="13" t="n">
        <f aca="false">IF(B67="","",IFERROR(MATCH(B67,CUSTOS!$A:$A,0),"NÃO ACHOU"))</f>
        <v>38</v>
      </c>
    </row>
    <row r="68" customFormat="false" ht="15" hidden="false" customHeight="false" outlineLevel="0" collapsed="false">
      <c r="A68" s="11" t="str">
        <f aca="false">'99'!A68</f>
        <v>Cerveja Stella Artois Pure Gold Lt 269ml</v>
      </c>
      <c r="B68" s="11" t="s">
        <v>776</v>
      </c>
      <c r="C68" s="14" t="s">
        <v>803</v>
      </c>
      <c r="D68" s="11"/>
      <c r="E68" s="13" t="n">
        <f aca="false">IF(B68="","",IFERROR(MATCH(B68,CUSTOS!$A:$A,0),"NÃO ACHOU"))</f>
        <v>683</v>
      </c>
    </row>
    <row r="69" customFormat="false" ht="15" hidden="false" customHeight="false" outlineLevel="0" collapsed="false">
      <c r="A69" s="11" t="str">
        <f aca="false">'99'!A69</f>
        <v>Espumante Salton Brut 750ML</v>
      </c>
      <c r="B69" s="11" t="s">
        <v>221</v>
      </c>
      <c r="C69" s="14" t="s">
        <v>803</v>
      </c>
      <c r="D69" s="11"/>
      <c r="E69" s="13" t="n">
        <f aca="false">IF(B69="","",IFERROR(MATCH(B69,CUSTOS!$A:$A,0),"NÃO ACHOU"))</f>
        <v>127</v>
      </c>
    </row>
    <row r="70" customFormat="false" ht="15" hidden="false" customHeight="false" outlineLevel="0" collapsed="false">
      <c r="A70" s="11" t="str">
        <f aca="false">'99'!A70</f>
        <v>Bebida Alcoólica Mista Smirnoff Ice 269ML</v>
      </c>
      <c r="B70" s="11" t="s">
        <v>123</v>
      </c>
      <c r="C70" s="14" t="s">
        <v>803</v>
      </c>
      <c r="D70" s="11"/>
      <c r="E70" s="13" t="n">
        <f aca="false">IF(B70="","",IFERROR(MATCH(B70,CUSTOS!$A:$A,0),"NÃO ACHOU"))</f>
        <v>29</v>
      </c>
    </row>
    <row r="71" customFormat="false" ht="15" hidden="false" customHeight="false" outlineLevel="0" collapsed="false">
      <c r="A71" s="11" t="str">
        <f aca="false">'99'!A71</f>
        <v>Vinho Chileno Casillero del Diablo Chardonnay 750ML</v>
      </c>
      <c r="B71" s="11" t="s">
        <v>256</v>
      </c>
      <c r="C71" s="14" t="s">
        <v>803</v>
      </c>
      <c r="D71" s="11"/>
      <c r="E71" s="13" t="n">
        <f aca="false">IF(B71="","",IFERROR(MATCH(B71,CUSTOS!$A:$A,0),"NÃO ACHOU"))</f>
        <v>162</v>
      </c>
    </row>
    <row r="72" customFormat="false" ht="15" hidden="false" customHeight="false" outlineLevel="0" collapsed="false">
      <c r="A72" s="11" t="str">
        <f aca="false">'99'!A72</f>
        <v>Água Mineral Minalba Com gás 1.5 L</v>
      </c>
      <c r="B72" s="11" t="s">
        <v>126</v>
      </c>
      <c r="C72" s="14" t="s">
        <v>803</v>
      </c>
      <c r="D72" s="11"/>
      <c r="E72" s="13" t="n">
        <f aca="false">IF(B72="","",IFERROR(MATCH(B72,CUSTOS!$A:$A,0),"NÃO ACHOU"))</f>
        <v>32</v>
      </c>
    </row>
    <row r="73" customFormat="false" ht="15" hidden="false" customHeight="false" outlineLevel="0" collapsed="false">
      <c r="A73" s="11" t="str">
        <f aca="false">'99'!A73</f>
        <v>Aperitivo Campari Bitter 900Ml</v>
      </c>
      <c r="B73" s="11" t="s">
        <v>156</v>
      </c>
      <c r="C73" s="12" t="s">
        <v>801</v>
      </c>
      <c r="D73" s="11" t="s">
        <v>814</v>
      </c>
      <c r="E73" s="13" t="n">
        <f aca="false">IF(B73="","",IFERROR(MATCH(B73,CUSTOS!$A:$A,0),"NÃO ACHOU"))</f>
        <v>62</v>
      </c>
    </row>
    <row r="74" customFormat="false" ht="15" hidden="false" customHeight="false" outlineLevel="0" collapsed="false">
      <c r="A74" s="11" t="str">
        <f aca="false">'99'!A74</f>
        <v>Tequila El Jimador Prata Super Premium 750 ml</v>
      </c>
      <c r="B74" s="11" t="s">
        <v>566</v>
      </c>
      <c r="C74" s="14" t="s">
        <v>803</v>
      </c>
      <c r="D74" s="11" t="s">
        <v>815</v>
      </c>
      <c r="E74" s="13" t="n">
        <f aca="false">IF(B74="","",IFERROR(MATCH(B74,CUSTOS!$A:$A,0),"NÃO ACHOU"))</f>
        <v>472</v>
      </c>
    </row>
    <row r="75" customFormat="false" ht="15" hidden="false" customHeight="false" outlineLevel="0" collapsed="false">
      <c r="A75" s="11" t="str">
        <f aca="false">'99'!A75</f>
        <v>Espumante Salton Demi Sec 750ML</v>
      </c>
      <c r="B75" s="11" t="s">
        <v>378</v>
      </c>
      <c r="C75" s="14" t="s">
        <v>803</v>
      </c>
      <c r="D75" s="11"/>
      <c r="E75" s="13" t="n">
        <f aca="false">IF(B75="","",IFERROR(MATCH(B75,CUSTOS!$A:$A,0),"NÃO ACHOU"))</f>
        <v>284</v>
      </c>
    </row>
    <row r="76" customFormat="false" ht="15" hidden="false" customHeight="false" outlineLevel="0" collapsed="false">
      <c r="A76" s="11" t="str">
        <f aca="false">'99'!A76</f>
        <v>Vinho Tinto Santa Helena Reservado Carmenère 750ml</v>
      </c>
      <c r="B76" s="11" t="s">
        <v>678</v>
      </c>
      <c r="C76" s="14" t="s">
        <v>803</v>
      </c>
      <c r="D76" s="11"/>
      <c r="E76" s="13" t="n">
        <f aca="false">IF(B76="","",IFERROR(MATCH(B76,CUSTOS!$A:$A,0),"NÃO ACHOU"))</f>
        <v>584</v>
      </c>
    </row>
    <row r="77" customFormat="false" ht="15" hidden="false" customHeight="false" outlineLevel="0" collapsed="false">
      <c r="A77" s="11" t="str">
        <f aca="false">'99'!A77</f>
        <v>Vinho Chileno Concha Y Toro Carmenere 750ML</v>
      </c>
      <c r="B77" s="11" t="s">
        <v>267</v>
      </c>
      <c r="C77" s="14" t="s">
        <v>803</v>
      </c>
      <c r="D77" s="11"/>
      <c r="E77" s="13" t="n">
        <f aca="false">IF(B77="","",IFERROR(MATCH(B77,CUSTOS!$A:$A,0),"NÃO ACHOU"))</f>
        <v>173</v>
      </c>
    </row>
    <row r="78" customFormat="false" ht="15" hidden="false" customHeight="false" outlineLevel="0" collapsed="false">
      <c r="A78" s="11" t="str">
        <f aca="false">'99'!A78</f>
        <v>Energético Líquido À Base De Taurina E Cafeína Juice Suco De Frutas Monster Pipeline Punch 473ml</v>
      </c>
      <c r="B78" s="11" t="s">
        <v>659</v>
      </c>
      <c r="C78" s="14" t="s">
        <v>803</v>
      </c>
      <c r="D78" s="11"/>
      <c r="E78" s="13" t="n">
        <f aca="false">IF(B78="","",IFERROR(MATCH(B78,CUSTOS!$A:$A,0),"NÃO ACHOU"))</f>
        <v>565</v>
      </c>
    </row>
    <row r="79" customFormat="false" ht="15" hidden="false" customHeight="false" outlineLevel="0" collapsed="false">
      <c r="A79" s="11" t="str">
        <f aca="false">'99'!A79</f>
        <v>Água De Coco Kero Coco Caixa 1L</v>
      </c>
      <c r="B79" s="11" t="s">
        <v>771</v>
      </c>
      <c r="C79" s="14" t="s">
        <v>803</v>
      </c>
      <c r="D79" s="11"/>
      <c r="E79" s="13" t="n">
        <f aca="false">IF(B79="","",IFERROR(MATCH(B79,CUSTOS!$A:$A,0),"NÃO ACHOU"))</f>
        <v>678</v>
      </c>
    </row>
    <row r="80" customFormat="false" ht="15" hidden="false" customHeight="false" outlineLevel="0" collapsed="false">
      <c r="A80" s="11" t="str">
        <f aca="false">'99'!A80</f>
        <v>Salgadinho Elma Chips Batata Ruffles Original 68G</v>
      </c>
      <c r="B80" s="11" t="s">
        <v>105</v>
      </c>
      <c r="C80" s="14" t="s">
        <v>803</v>
      </c>
      <c r="D80" s="11"/>
      <c r="E80" s="13" t="n">
        <f aca="false">IF(B80="","",IFERROR(MATCH(B80,CUSTOS!$A:$A,0),"NÃO ACHOU"))</f>
        <v>11</v>
      </c>
    </row>
    <row r="81" customFormat="false" ht="15" hidden="false" customHeight="false" outlineLevel="0" collapsed="false">
      <c r="A81" s="11" t="str">
        <f aca="false">'99'!A81</f>
        <v>Refrigerante Pepsi Zero 2L</v>
      </c>
      <c r="B81" s="11" t="s">
        <v>642</v>
      </c>
      <c r="C81" s="12" t="s">
        <v>801</v>
      </c>
      <c r="D81" s="11" t="s">
        <v>802</v>
      </c>
      <c r="E81" s="13" t="n">
        <f aca="false">IF(B81="","",IFERROR(MATCH(B81,CUSTOS!$A:$A,0),"NÃO ACHOU"))</f>
        <v>548</v>
      </c>
    </row>
    <row r="82" customFormat="false" ht="15" hidden="false" customHeight="false" outlineLevel="0" collapsed="false">
      <c r="A82" s="11" t="str">
        <f aca="false">'99'!A82</f>
        <v>Cerveja Corona Pilsen Lata 350ml</v>
      </c>
      <c r="B82" s="11" t="s">
        <v>689</v>
      </c>
      <c r="C82" s="14" t="s">
        <v>803</v>
      </c>
      <c r="D82" s="11"/>
      <c r="E82" s="13" t="n">
        <f aca="false">IF(B82="","",IFERROR(MATCH(B82,CUSTOS!$A:$A,0),"NÃO ACHOU"))</f>
        <v>595</v>
      </c>
    </row>
    <row r="83" customFormat="false" ht="15" hidden="false" customHeight="false" outlineLevel="0" collapsed="false">
      <c r="A83" s="11" t="str">
        <f aca="false">'99'!A83</f>
        <v>Ice 51 Morango E Laranja 275 ml</v>
      </c>
      <c r="B83" s="11" t="s">
        <v>743</v>
      </c>
      <c r="C83" s="12" t="s">
        <v>801</v>
      </c>
      <c r="D83" s="11" t="s">
        <v>811</v>
      </c>
      <c r="E83" s="13" t="n">
        <f aca="false">IF(B83="","",IFERROR(MATCH(B83,CUSTOS!$A:$A,0),"NÃO ACHOU"))</f>
        <v>649</v>
      </c>
    </row>
    <row r="84" customFormat="false" ht="15" hidden="false" customHeight="false" outlineLevel="0" collapsed="false">
      <c r="A84" s="11" t="str">
        <f aca="false">'99'!A84</f>
        <v>Água Mineral Minalba Sem gás 1.5 L</v>
      </c>
      <c r="B84" s="11" t="s">
        <v>128</v>
      </c>
      <c r="C84" s="14" t="s">
        <v>803</v>
      </c>
      <c r="D84" s="11"/>
      <c r="E84" s="13" t="n">
        <f aca="false">IF(B84="","",IFERROR(MATCH(B84,CUSTOS!$A:$A,0),"NÃO ACHOU"))</f>
        <v>34</v>
      </c>
    </row>
    <row r="85" customFormat="false" ht="15" hidden="false" customHeight="false" outlineLevel="0" collapsed="false">
      <c r="A85" s="11" t="str">
        <f aca="false">'99'!A85</f>
        <v>Água Mineral Crystal Com Gás 1,5L</v>
      </c>
      <c r="B85" s="11" t="s">
        <v>119</v>
      </c>
      <c r="C85" s="14" t="s">
        <v>803</v>
      </c>
      <c r="D85" s="11"/>
      <c r="E85" s="13" t="n">
        <f aca="false">IF(B85="","",IFERROR(MATCH(B85,CUSTOS!$A:$A,0),"NÃO ACHOU"))</f>
        <v>25</v>
      </c>
    </row>
    <row r="86" customFormat="false" ht="15" hidden="false" customHeight="false" outlineLevel="0" collapsed="false">
      <c r="A86" s="11" t="str">
        <f aca="false">'99'!A86</f>
        <v>Salgadinho Lucky Torcida Cebola 60G</v>
      </c>
      <c r="B86" s="11" t="s">
        <v>111</v>
      </c>
      <c r="C86" s="14" t="s">
        <v>803</v>
      </c>
      <c r="D86" s="11"/>
      <c r="E86" s="13" t="n">
        <f aca="false">IF(B86="","",IFERROR(MATCH(B86,CUSTOS!$A:$A,0),"NÃO ACHOU"))</f>
        <v>17</v>
      </c>
    </row>
    <row r="87" customFormat="false" ht="15" hidden="false" customHeight="false" outlineLevel="0" collapsed="false">
      <c r="A87" s="11" t="str">
        <f aca="false">'99'!A87</f>
        <v>Cerveja Michelob Ultra Superior Light Beer Lata 350ml</v>
      </c>
      <c r="B87" s="11" t="s">
        <v>772</v>
      </c>
      <c r="C87" s="14" t="s">
        <v>803</v>
      </c>
      <c r="D87" s="11" t="s">
        <v>807</v>
      </c>
      <c r="E87" s="13" t="n">
        <f aca="false">IF(B87="","",IFERROR(MATCH(B87,CUSTOS!$A:$A,0),"NÃO ACHOU"))</f>
        <v>679</v>
      </c>
    </row>
    <row r="88" customFormat="false" ht="15" hidden="false" customHeight="false" outlineLevel="0" collapsed="false">
      <c r="A88" s="11" t="str">
        <f aca="false">'99'!A88</f>
        <v>Refrigerante Guaraná Antarctica Zero 200ML</v>
      </c>
      <c r="B88" s="11" t="s">
        <v>765</v>
      </c>
      <c r="C88" s="14" t="s">
        <v>803</v>
      </c>
      <c r="D88" s="11"/>
      <c r="E88" s="13" t="n">
        <f aca="false">IF(B88="","",IFERROR(MATCH(B88,CUSTOS!$A:$A,0),"NÃO ACHOU"))</f>
        <v>671</v>
      </c>
    </row>
    <row r="89" customFormat="false" ht="15" hidden="false" customHeight="false" outlineLevel="0" collapsed="false">
      <c r="A89" s="11" t="str">
        <f aca="false">'99'!A89</f>
        <v>Bebida Alcoólica Mista Beats Tropical 269ML</v>
      </c>
      <c r="B89" s="11" t="s">
        <v>723</v>
      </c>
      <c r="C89" s="14" t="s">
        <v>803</v>
      </c>
      <c r="D89" s="11"/>
      <c r="E89" s="13" t="n">
        <f aca="false">IF(B89="","",IFERROR(MATCH(B89,CUSTOS!$A:$A,0),"NÃO ACHOU"))</f>
        <v>629</v>
      </c>
    </row>
    <row r="90" customFormat="false" ht="15" hidden="false" customHeight="false" outlineLevel="0" collapsed="false">
      <c r="A90" s="11" t="str">
        <f aca="false">'99'!A90</f>
        <v>Cerveja Lagunita 350ml</v>
      </c>
      <c r="B90" s="11" t="s">
        <v>192</v>
      </c>
      <c r="C90" s="14" t="s">
        <v>803</v>
      </c>
      <c r="D90" s="11"/>
      <c r="E90" s="13" t="n">
        <f aca="false">IF(B90="","",IFERROR(MATCH(B90,CUSTOS!$A:$A,0),"NÃO ACHOU"))</f>
        <v>98</v>
      </c>
    </row>
    <row r="91" customFormat="false" ht="15" hidden="false" customHeight="false" outlineLevel="0" collapsed="false">
      <c r="A91" s="11" t="str">
        <f aca="false">'99'!A91</f>
        <v>Cerveja Coronita Long 210ml</v>
      </c>
      <c r="B91" s="11" t="s">
        <v>637</v>
      </c>
      <c r="C91" s="14" t="s">
        <v>803</v>
      </c>
      <c r="D91" s="11"/>
      <c r="E91" s="13" t="n">
        <f aca="false">IF(B91="","",IFERROR(MATCH(B91,CUSTOS!$A:$A,0),"NÃO ACHOU"))</f>
        <v>543</v>
      </c>
    </row>
    <row r="92" customFormat="false" ht="15" hidden="false" customHeight="false" outlineLevel="0" collapsed="false">
      <c r="A92" s="11" t="str">
        <f aca="false">'99'!A92</f>
        <v>Bebida 51 Ice Balada 275ML</v>
      </c>
      <c r="B92" s="11" t="s">
        <v>740</v>
      </c>
      <c r="C92" s="14" t="s">
        <v>803</v>
      </c>
      <c r="D92" s="11"/>
      <c r="E92" s="13" t="n">
        <f aca="false">IF(B92="","",IFERROR(MATCH(B92,CUSTOS!$A:$A,0),"NÃO ACHOU"))</f>
        <v>646</v>
      </c>
    </row>
    <row r="93" customFormat="false" ht="15" hidden="false" customHeight="false" outlineLevel="0" collapsed="false">
      <c r="A93" s="11" t="str">
        <f aca="false">'99'!A93</f>
        <v>Licor Ballena Garrafa 750ml</v>
      </c>
      <c r="B93" s="11"/>
      <c r="C93" s="15" t="s">
        <v>812</v>
      </c>
      <c r="D93" s="11" t="s">
        <v>813</v>
      </c>
      <c r="E93" s="13" t="str">
        <f aca="false">IF(B93="","",IFERROR(MATCH(B93,CUSTOS!$A:$A,0),"NÃO ACHOU"))</f>
        <v/>
      </c>
    </row>
    <row r="94" customFormat="false" ht="15" hidden="false" customHeight="false" outlineLevel="0" collapsed="false">
      <c r="A94" s="11" t="str">
        <f aca="false">'99'!A94</f>
        <v>Vinho Tinto Trapiche Vineyards Cabernet Sauvignon 750ml</v>
      </c>
      <c r="B94" s="11" t="s">
        <v>248</v>
      </c>
      <c r="C94" s="14" t="s">
        <v>803</v>
      </c>
      <c r="D94" s="11"/>
      <c r="E94" s="13" t="n">
        <f aca="false">IF(B94="","",IFERROR(MATCH(B94,CUSTOS!$A:$A,0),"NÃO ACHOU"))</f>
        <v>154</v>
      </c>
    </row>
    <row r="95" customFormat="false" ht="15" hidden="false" customHeight="false" outlineLevel="0" collapsed="false">
      <c r="A95" s="11" t="str">
        <f aca="false">'99'!A95</f>
        <v>Água Mineral Minalba Com gás 1.5 L</v>
      </c>
      <c r="B95" s="11" t="s">
        <v>126</v>
      </c>
      <c r="C95" s="14" t="s">
        <v>803</v>
      </c>
      <c r="D95" s="11"/>
      <c r="E95" s="13" t="n">
        <f aca="false">IF(B95="","",IFERROR(MATCH(B95,CUSTOS!$A:$A,0),"NÃO ACHOU"))</f>
        <v>32</v>
      </c>
    </row>
    <row r="96" customFormat="false" ht="15" hidden="false" customHeight="false" outlineLevel="0" collapsed="false">
      <c r="A96" s="11" t="str">
        <f aca="false">'99'!A96</f>
        <v>Refrigerante Coca-Cola Pet Com 2L</v>
      </c>
      <c r="B96" s="11" t="s">
        <v>231</v>
      </c>
      <c r="C96" s="14" t="s">
        <v>803</v>
      </c>
      <c r="D96" s="11"/>
      <c r="E96" s="13" t="n">
        <f aca="false">IF(B96="","",IFERROR(MATCH(B96,CUSTOS!$A:$A,0),"NÃO ACHOU"))</f>
        <v>137</v>
      </c>
    </row>
    <row r="97" customFormat="false" ht="15" hidden="false" customHeight="false" outlineLevel="0" collapsed="false">
      <c r="A97" s="11" t="str">
        <f aca="false">'99'!A97</f>
        <v>Refrigerante Guaraná Antarctica 2L</v>
      </c>
      <c r="B97" s="11" t="s">
        <v>236</v>
      </c>
      <c r="C97" s="14" t="s">
        <v>803</v>
      </c>
      <c r="D97" s="11"/>
      <c r="E97" s="13" t="n">
        <f aca="false">IF(B97="","",IFERROR(MATCH(B97,CUSTOS!$A:$A,0),"NÃO ACHOU"))</f>
        <v>142</v>
      </c>
    </row>
    <row r="98" customFormat="false" ht="15" hidden="false" customHeight="false" outlineLevel="0" collapsed="false">
      <c r="A98" s="11" t="str">
        <f aca="false">'99'!A98</f>
        <v>Refrigerante Pepsi Zero 2L</v>
      </c>
      <c r="B98" s="11" t="s">
        <v>642</v>
      </c>
      <c r="C98" s="12" t="s">
        <v>801</v>
      </c>
      <c r="D98" s="11" t="s">
        <v>802</v>
      </c>
      <c r="E98" s="13" t="n">
        <f aca="false">IF(B98="","",IFERROR(MATCH(B98,CUSTOS!$A:$A,0),"NÃO ACHOU"))</f>
        <v>548</v>
      </c>
    </row>
    <row r="99" customFormat="false" ht="15" hidden="false" customHeight="false" outlineLevel="0" collapsed="false">
      <c r="A99" s="11" t="str">
        <f aca="false">'99'!A99</f>
        <v>Isotônico Tangerina Gatorade Garrafa 500ml</v>
      </c>
      <c r="B99" s="11" t="s">
        <v>392</v>
      </c>
      <c r="C99" s="14" t="s">
        <v>803</v>
      </c>
      <c r="D99" s="11"/>
      <c r="E99" s="13" t="n">
        <f aca="false">IF(B99="","",IFERROR(MATCH(B99,CUSTOS!$A:$A,0),"NÃO ACHOU"))</f>
        <v>298</v>
      </c>
    </row>
    <row r="100" customFormat="false" ht="15" hidden="false" customHeight="false" outlineLevel="0" collapsed="false">
      <c r="A100" s="11" t="str">
        <f aca="false">'99'!A100</f>
        <v>Gelo Para Drink Coco Leve 190G</v>
      </c>
      <c r="B100" s="11" t="s">
        <v>781</v>
      </c>
      <c r="C100" s="12" t="s">
        <v>801</v>
      </c>
      <c r="D100" s="11" t="s">
        <v>808</v>
      </c>
      <c r="E100" s="13" t="n">
        <f aca="false">IF(B100="","",IFERROR(MATCH(B100,CUSTOS!$A:$A,0),"NÃO ACHOU"))</f>
        <v>688</v>
      </c>
    </row>
    <row r="101" customFormat="false" ht="15" hidden="false" customHeight="false" outlineLevel="0" collapsed="false">
      <c r="A101" s="11" t="str">
        <f aca="false">'99'!A101</f>
        <v>Whiskey Bourbon Jim Beam White 1L</v>
      </c>
      <c r="B101" s="11" t="s">
        <v>397</v>
      </c>
      <c r="C101" s="14" t="s">
        <v>803</v>
      </c>
      <c r="D101" s="11"/>
      <c r="E101" s="13" t="n">
        <f aca="false">IF(B101="","",IFERROR(MATCH(B101,CUSTOS!$A:$A,0),"NÃO ACHOU"))</f>
        <v>303</v>
      </c>
    </row>
    <row r="102" customFormat="false" ht="15" hidden="false" customHeight="false" outlineLevel="0" collapsed="false">
      <c r="A102" s="11" t="str">
        <f aca="false">'99'!A102</f>
        <v>Água De Coco Kero Coco Caixa 1L</v>
      </c>
      <c r="B102" s="11" t="s">
        <v>771</v>
      </c>
      <c r="C102" s="14" t="s">
        <v>803</v>
      </c>
      <c r="D102" s="11"/>
      <c r="E102" s="13" t="n">
        <f aca="false">IF(B102="","",IFERROR(MATCH(B102,CUSTOS!$A:$A,0),"NÃO ACHOU"))</f>
        <v>678</v>
      </c>
    </row>
    <row r="103" customFormat="false" ht="15" hidden="false" customHeight="false" outlineLevel="0" collapsed="false">
      <c r="A103" s="11" t="str">
        <f aca="false">'99'!A103</f>
        <v>Espumante Salton Brut 750ML</v>
      </c>
      <c r="B103" s="11" t="s">
        <v>221</v>
      </c>
      <c r="C103" s="14" t="s">
        <v>803</v>
      </c>
      <c r="D103" s="11"/>
      <c r="E103" s="13" t="n">
        <f aca="false">IF(B103="","",IFERROR(MATCH(B103,CUSTOS!$A:$A,0),"NÃO ACHOU"))</f>
        <v>127</v>
      </c>
    </row>
    <row r="104" customFormat="false" ht="15" hidden="false" customHeight="false" outlineLevel="0" collapsed="false">
      <c r="A104" s="11" t="str">
        <f aca="false">'99'!A104</f>
        <v>Gelo Fast Embalagem 5Kg</v>
      </c>
      <c r="B104" s="11" t="s">
        <v>468</v>
      </c>
      <c r="C104" s="14" t="s">
        <v>803</v>
      </c>
      <c r="D104" s="11"/>
      <c r="E104" s="13" t="n">
        <f aca="false">IF(B104="","",IFERROR(MATCH(B104,CUSTOS!$A:$A,0),"NÃO ACHOU"))</f>
        <v>374</v>
      </c>
    </row>
    <row r="105" customFormat="false" ht="15" hidden="false" customHeight="false" outlineLevel="0" collapsed="false">
      <c r="A105" s="11" t="str">
        <f aca="false">'99'!A105</f>
        <v>Energético Baly Melancia 2L</v>
      </c>
      <c r="B105" s="11" t="s">
        <v>202</v>
      </c>
      <c r="C105" s="14" t="s">
        <v>803</v>
      </c>
      <c r="D105" s="11"/>
      <c r="E105" s="13" t="n">
        <f aca="false">IF(B105="","",IFERROR(MATCH(B105,CUSTOS!$A:$A,0),"NÃO ACHOU"))</f>
        <v>108</v>
      </c>
    </row>
    <row r="106" customFormat="false" ht="15" hidden="false" customHeight="false" outlineLevel="0" collapsed="false">
      <c r="A106" s="11" t="str">
        <f aca="false">'99'!A106</f>
        <v>Energético Baly FrutasTropicais 2L</v>
      </c>
      <c r="B106" s="11" t="s">
        <v>203</v>
      </c>
      <c r="C106" s="14" t="s">
        <v>803</v>
      </c>
      <c r="D106" s="11"/>
      <c r="E106" s="13" t="n">
        <f aca="false">IF(B106="","",IFERROR(MATCH(B106,CUSTOS!$A:$A,0),"NÃO ACHOU"))</f>
        <v>109</v>
      </c>
    </row>
    <row r="107" customFormat="false" ht="15" hidden="false" customHeight="false" outlineLevel="0" collapsed="false">
      <c r="A107" s="11" t="str">
        <f aca="false">'99'!A107</f>
        <v>Água Mineral Minalba Sem gás 510ML</v>
      </c>
      <c r="B107" s="11" t="s">
        <v>137</v>
      </c>
      <c r="C107" s="14" t="s">
        <v>803</v>
      </c>
      <c r="D107" s="11"/>
      <c r="E107" s="13" t="n">
        <f aca="false">IF(B107="","",IFERROR(MATCH(B107,CUSTOS!$A:$A,0),"NÃO ACHOU"))</f>
        <v>43</v>
      </c>
    </row>
    <row r="108" customFormat="false" ht="15" hidden="false" customHeight="false" outlineLevel="0" collapsed="false">
      <c r="A108" s="11" t="str">
        <f aca="false">'99'!A108</f>
        <v>Cerveja Skol Redondinha 269ML</v>
      </c>
      <c r="B108" s="11" t="s">
        <v>194</v>
      </c>
      <c r="C108" s="14" t="s">
        <v>803</v>
      </c>
      <c r="D108" s="11"/>
      <c r="E108" s="13" t="n">
        <f aca="false">IF(B108="","",IFERROR(MATCH(B108,CUSTOS!$A:$A,0),"NÃO ACHOU"))</f>
        <v>100</v>
      </c>
    </row>
    <row r="109" customFormat="false" ht="15" hidden="false" customHeight="false" outlineLevel="0" collapsed="false">
      <c r="A109" s="11" t="str">
        <f aca="false">'99'!A109</f>
        <v>Cerveja Corona Long Neck Com 330ml</v>
      </c>
      <c r="B109" s="11" t="s">
        <v>184</v>
      </c>
      <c r="C109" s="14" t="s">
        <v>803</v>
      </c>
      <c r="D109" s="11"/>
      <c r="E109" s="13" t="n">
        <f aca="false">IF(B109="","",IFERROR(MATCH(B109,CUSTOS!$A:$A,0),"NÃO ACHOU"))</f>
        <v>90</v>
      </c>
    </row>
    <row r="110" customFormat="false" ht="15" hidden="false" customHeight="false" outlineLevel="0" collapsed="false">
      <c r="A110" s="11" t="str">
        <f aca="false">'99'!A110</f>
        <v>Gelo Para Drink Coco Leve 190G</v>
      </c>
      <c r="B110" s="11" t="s">
        <v>781</v>
      </c>
      <c r="C110" s="12" t="s">
        <v>801</v>
      </c>
      <c r="D110" s="11" t="s">
        <v>808</v>
      </c>
      <c r="E110" s="13" t="n">
        <f aca="false">IF(B110="","",IFERROR(MATCH(B110,CUSTOS!$A:$A,0),"NÃO ACHOU"))</f>
        <v>688</v>
      </c>
    </row>
    <row r="111" customFormat="false" ht="15" hidden="false" customHeight="false" outlineLevel="0" collapsed="false">
      <c r="A111" s="11" t="str">
        <f aca="false">'99'!A111</f>
        <v>Refrigerante Guaraná Antarctica Pet Com 200ml</v>
      </c>
      <c r="B111" s="11" t="s">
        <v>489</v>
      </c>
      <c r="C111" s="14" t="s">
        <v>803</v>
      </c>
      <c r="D111" s="11" t="s">
        <v>816</v>
      </c>
      <c r="E111" s="13" t="n">
        <f aca="false">IF(B111="","",IFERROR(MATCH(B111,CUSTOS!$A:$A,0),"NÃO ACHOU"))</f>
        <v>395</v>
      </c>
    </row>
    <row r="112" customFormat="false" ht="15" hidden="false" customHeight="false" outlineLevel="0" collapsed="false">
      <c r="A112" s="11" t="str">
        <f aca="false">'99'!A112</f>
        <v>Refresco H2oh Limão Pet com 500ml</v>
      </c>
      <c r="B112" s="11" t="s">
        <v>717</v>
      </c>
      <c r="C112" s="14" t="s">
        <v>803</v>
      </c>
      <c r="D112" s="11"/>
      <c r="E112" s="13" t="n">
        <f aca="false">IF(B112="","",IFERROR(MATCH(B112,CUSTOS!$A:$A,0),"NÃO ACHOU"))</f>
        <v>623</v>
      </c>
    </row>
    <row r="113" customFormat="false" ht="15" hidden="false" customHeight="false" outlineLevel="0" collapsed="false">
      <c r="A113" s="11" t="str">
        <f aca="false">'99'!A113</f>
        <v>Refrigerante Pepsi Zero 350ML</v>
      </c>
      <c r="B113" s="11" t="s">
        <v>300</v>
      </c>
      <c r="C113" s="12" t="s">
        <v>801</v>
      </c>
      <c r="D113" s="11" t="s">
        <v>802</v>
      </c>
      <c r="E113" s="13" t="n">
        <f aca="false">IF(B113="","",IFERROR(MATCH(B113,CUSTOS!$A:$A,0),"NÃO ACHOU"))</f>
        <v>206</v>
      </c>
    </row>
    <row r="114" customFormat="false" ht="15" hidden="false" customHeight="false" outlineLevel="0" collapsed="false">
      <c r="A114" s="11" t="str">
        <f aca="false">'99'!A114</f>
        <v>Refrigerante Coca-Cola Pet Com 2L</v>
      </c>
      <c r="B114" s="11" t="s">
        <v>231</v>
      </c>
      <c r="C114" s="14" t="s">
        <v>803</v>
      </c>
      <c r="D114" s="11"/>
      <c r="E114" s="13" t="n">
        <f aca="false">IF(B114="","",IFERROR(MATCH(B114,CUSTOS!$A:$A,0),"NÃO ACHOU"))</f>
        <v>137</v>
      </c>
    </row>
    <row r="115" customFormat="false" ht="15" hidden="false" customHeight="false" outlineLevel="0" collapsed="false">
      <c r="A115" s="11" t="str">
        <f aca="false">'99'!A115</f>
        <v>Salgadinho Lucky Torcida Churrasco 60G</v>
      </c>
      <c r="B115" s="11" t="s">
        <v>112</v>
      </c>
      <c r="C115" s="14" t="s">
        <v>803</v>
      </c>
      <c r="D115" s="11"/>
      <c r="E115" s="13" t="n">
        <f aca="false">IF(B115="","",IFERROR(MATCH(B115,CUSTOS!$A:$A,0),"NÃO ACHOU"))</f>
        <v>18</v>
      </c>
    </row>
    <row r="116" customFormat="false" ht="15" hidden="false" customHeight="false" outlineLevel="0" collapsed="false">
      <c r="A116" s="11" t="str">
        <f aca="false">'99'!A116</f>
        <v>Cerveja Colorado Ribeirão Lager 600ml Garrafa</v>
      </c>
      <c r="B116" s="11" t="s">
        <v>183</v>
      </c>
      <c r="C116" s="14" t="s">
        <v>803</v>
      </c>
      <c r="D116" s="11"/>
      <c r="E116" s="13" t="n">
        <f aca="false">IF(B116="","",IFERROR(MATCH(B116,CUSTOS!$A:$A,0),"NÃO ACHOU"))</f>
        <v>89</v>
      </c>
    </row>
    <row r="117" customFormat="false" ht="15" hidden="false" customHeight="false" outlineLevel="0" collapsed="false">
      <c r="A117" s="11" t="str">
        <f aca="false">'99'!A117</f>
        <v>Bebida 51 Ice Balada 275ML</v>
      </c>
      <c r="B117" s="11" t="s">
        <v>740</v>
      </c>
      <c r="C117" s="14" t="s">
        <v>803</v>
      </c>
      <c r="D117" s="11"/>
      <c r="E117" s="13" t="n">
        <f aca="false">IF(B117="","",IFERROR(MATCH(B117,CUSTOS!$A:$A,0),"NÃO ACHOU"))</f>
        <v>646</v>
      </c>
    </row>
    <row r="118" customFormat="false" ht="15" hidden="false" customHeight="false" outlineLevel="0" collapsed="false">
      <c r="A118" s="11" t="str">
        <f aca="false">'99'!A118</f>
        <v>Cerveja Michelob Ultra Superior Light Beer Lata 350ml</v>
      </c>
      <c r="B118" s="11" t="s">
        <v>772</v>
      </c>
      <c r="C118" s="14" t="s">
        <v>803</v>
      </c>
      <c r="D118" s="11" t="s">
        <v>807</v>
      </c>
      <c r="E118" s="13" t="n">
        <f aca="false">IF(B118="","",IFERROR(MATCH(B118,CUSTOS!$A:$A,0),"NÃO ACHOU"))</f>
        <v>679</v>
      </c>
    </row>
    <row r="119" customFormat="false" ht="15" hidden="false" customHeight="false" outlineLevel="0" collapsed="false">
      <c r="A119" s="11" t="str">
        <f aca="false">'99'!A119</f>
        <v>Vin Pé Branco- 750ml</v>
      </c>
      <c r="B119" s="11" t="s">
        <v>344</v>
      </c>
      <c r="C119" s="14" t="s">
        <v>803</v>
      </c>
      <c r="D119" s="11"/>
      <c r="E119" s="13" t="n">
        <f aca="false">IF(B119="","",IFERROR(MATCH(B119,CUSTOS!$A:$A,0),"NÃO ACHOU"))</f>
        <v>250</v>
      </c>
    </row>
    <row r="120" customFormat="false" ht="15" hidden="false" customHeight="false" outlineLevel="0" collapsed="false">
      <c r="A120" s="11" t="str">
        <f aca="false">'99'!A120</f>
        <v>Saquê Azuma Kirin Dourado Seco Garrafa com 740ml</v>
      </c>
      <c r="B120" s="11" t="s">
        <v>173</v>
      </c>
      <c r="C120" s="14" t="s">
        <v>803</v>
      </c>
      <c r="D120" s="11"/>
      <c r="E120" s="13" t="n">
        <f aca="false">IF(B120="","",IFERROR(MATCH(B120,CUSTOS!$A:$A,0),"NÃO ACHOU"))</f>
        <v>79</v>
      </c>
    </row>
    <row r="121" customFormat="false" ht="15" hidden="false" customHeight="false" outlineLevel="0" collapsed="false">
      <c r="A121" s="11" t="str">
        <f aca="false">'99'!A121</f>
        <v>Espumante Salton Brut 750ML</v>
      </c>
      <c r="B121" s="11" t="s">
        <v>221</v>
      </c>
      <c r="C121" s="14" t="s">
        <v>803</v>
      </c>
      <c r="D121" s="11"/>
      <c r="E121" s="13" t="n">
        <f aca="false">IF(B121="","",IFERROR(MATCH(B121,CUSTOS!$A:$A,0),"NÃO ACHOU"))</f>
        <v>127</v>
      </c>
    </row>
    <row r="122" customFormat="false" ht="15" hidden="false" customHeight="false" outlineLevel="0" collapsed="false">
      <c r="A122" s="11" t="str">
        <f aca="false">'99'!A122</f>
        <v>Vinho Chileno Santa Helena Sauvignon Blanc 750ML</v>
      </c>
      <c r="B122" s="11" t="s">
        <v>709</v>
      </c>
      <c r="C122" s="14" t="s">
        <v>803</v>
      </c>
      <c r="D122" s="11"/>
      <c r="E122" s="13" t="n">
        <f aca="false">IF(B122="","",IFERROR(MATCH(B122,CUSTOS!$A:$A,0),"NÃO ACHOU"))</f>
        <v>615</v>
      </c>
    </row>
    <row r="123" customFormat="false" ht="15" hidden="false" customHeight="false" outlineLevel="0" collapsed="false">
      <c r="A123" s="11" t="str">
        <f aca="false">'99'!A123</f>
        <v>Refrigerante Pepsi Zero 2L</v>
      </c>
      <c r="B123" s="11" t="s">
        <v>642</v>
      </c>
      <c r="C123" s="12" t="s">
        <v>801</v>
      </c>
      <c r="D123" s="11" t="s">
        <v>802</v>
      </c>
      <c r="E123" s="13" t="n">
        <f aca="false">IF(B123="","",IFERROR(MATCH(B123,CUSTOS!$A:$A,0),"NÃO ACHOU"))</f>
        <v>548</v>
      </c>
    </row>
    <row r="124" customFormat="false" ht="15" hidden="false" customHeight="false" outlineLevel="0" collapsed="false">
      <c r="A124" s="11" t="str">
        <f aca="false">'99'!A124</f>
        <v>Cerveja Corona Pilsen Lata 350ml</v>
      </c>
      <c r="B124" s="11" t="s">
        <v>689</v>
      </c>
      <c r="C124" s="14" t="s">
        <v>803</v>
      </c>
      <c r="D124" s="11"/>
      <c r="E124" s="13" t="n">
        <f aca="false">IF(B124="","",IFERROR(MATCH(B124,CUSTOS!$A:$A,0),"NÃO ACHOU"))</f>
        <v>595</v>
      </c>
    </row>
    <row r="125" customFormat="false" ht="15" hidden="false" customHeight="false" outlineLevel="0" collapsed="false">
      <c r="A125" s="11" t="str">
        <f aca="false">'99'!A125</f>
        <v>Refrigerante Guaraná Antarctica Zero 350ML</v>
      </c>
      <c r="B125" s="11" t="s">
        <v>237</v>
      </c>
      <c r="C125" s="14" t="s">
        <v>803</v>
      </c>
      <c r="D125" s="11"/>
      <c r="E125" s="13" t="n">
        <f aca="false">IF(B125="","",IFERROR(MATCH(B125,CUSTOS!$A:$A,0),"NÃO ACHOU"))</f>
        <v>143</v>
      </c>
    </row>
    <row r="126" customFormat="false" ht="15" hidden="false" customHeight="false" outlineLevel="0" collapsed="false">
      <c r="A126" s="11" t="str">
        <f aca="false">'99'!A126</f>
        <v>Salgadinho Lucky Torcida Cebola 60G</v>
      </c>
      <c r="B126" s="11" t="s">
        <v>111</v>
      </c>
      <c r="C126" s="14" t="s">
        <v>803</v>
      </c>
      <c r="D126" s="11"/>
      <c r="E126" s="13" t="n">
        <f aca="false">IF(B126="","",IFERROR(MATCH(B126,CUSTOS!$A:$A,0),"NÃO ACHOU"))</f>
        <v>17</v>
      </c>
    </row>
    <row r="127" customFormat="false" ht="15" hidden="false" customHeight="false" outlineLevel="0" collapsed="false">
      <c r="A127" s="11" t="str">
        <f aca="false">'99'!A127</f>
        <v>Energético Baly FrutasTropicais 2L</v>
      </c>
      <c r="B127" s="11" t="s">
        <v>203</v>
      </c>
      <c r="C127" s="14" t="s">
        <v>803</v>
      </c>
      <c r="D127" s="11"/>
      <c r="E127" s="13" t="n">
        <f aca="false">IF(B127="","",IFERROR(MATCH(B127,CUSTOS!$A:$A,0),"NÃO ACHOU"))</f>
        <v>109</v>
      </c>
    </row>
    <row r="128" customFormat="false" ht="15" hidden="false" customHeight="false" outlineLevel="0" collapsed="false">
      <c r="A128" s="11" t="str">
        <f aca="false">'99'!A128</f>
        <v>Salgadinho Elma Chips Lay's Clássica 70G</v>
      </c>
      <c r="B128" s="11" t="s">
        <v>101</v>
      </c>
      <c r="C128" s="14" t="s">
        <v>803</v>
      </c>
      <c r="D128" s="11"/>
      <c r="E128" s="13" t="n">
        <f aca="false">IF(B128="","",IFERROR(MATCH(B128,CUSTOS!$A:$A,0),"NÃO ACHOU"))</f>
        <v>7</v>
      </c>
    </row>
    <row r="129" customFormat="false" ht="15" hidden="false" customHeight="false" outlineLevel="0" collapsed="false">
      <c r="A129" s="11" t="str">
        <f aca="false">'99'!A129</f>
        <v>Cerveja Original Lata Com 350ml</v>
      </c>
      <c r="B129" s="11" t="s">
        <v>132</v>
      </c>
      <c r="C129" s="14" t="s">
        <v>803</v>
      </c>
      <c r="D129" s="11"/>
      <c r="E129" s="13" t="n">
        <f aca="false">IF(B129="","",IFERROR(MATCH(B129,CUSTOS!$A:$A,0),"NÃO ACHOU"))</f>
        <v>38</v>
      </c>
    </row>
    <row r="130" customFormat="false" ht="15" hidden="false" customHeight="false" outlineLevel="0" collapsed="false">
      <c r="A130" s="11" t="str">
        <f aca="false">'99'!A130</f>
        <v>Espumante Salton Moscatel 750ML</v>
      </c>
      <c r="B130" s="11" t="s">
        <v>639</v>
      </c>
      <c r="C130" s="14" t="s">
        <v>803</v>
      </c>
      <c r="D130" s="11"/>
      <c r="E130" s="13" t="n">
        <f aca="false">IF(B130="","",IFERROR(MATCH(B130,CUSTOS!$A:$A,0),"NÃO ACHOU"))</f>
        <v>545</v>
      </c>
    </row>
    <row r="131" customFormat="false" ht="15" hidden="false" customHeight="false" outlineLevel="0" collapsed="false">
      <c r="A131" s="11" t="str">
        <f aca="false">'99'!A131</f>
        <v>Espumante Salton Brut 750ML</v>
      </c>
      <c r="B131" s="11" t="s">
        <v>221</v>
      </c>
      <c r="C131" s="14" t="s">
        <v>803</v>
      </c>
      <c r="D131" s="11"/>
      <c r="E131" s="13" t="n">
        <f aca="false">IF(B131="","",IFERROR(MATCH(B131,CUSTOS!$A:$A,0),"NÃO ACHOU"))</f>
        <v>127</v>
      </c>
    </row>
    <row r="132" customFormat="false" ht="15" hidden="false" customHeight="false" outlineLevel="0" collapsed="false">
      <c r="A132" s="11" t="str">
        <f aca="false">'99'!A132</f>
        <v>Mansão Maromba Maça Verde</v>
      </c>
      <c r="B132" s="11" t="s">
        <v>754</v>
      </c>
      <c r="C132" s="12" t="s">
        <v>801</v>
      </c>
      <c r="D132" s="11" t="s">
        <v>817</v>
      </c>
      <c r="E132" s="13" t="n">
        <f aca="false">IF(B132="","",IFERROR(MATCH(B132,CUSTOS!$A:$A,0),"NÃO ACHOU"))</f>
        <v>660</v>
      </c>
    </row>
    <row r="133" customFormat="false" ht="15" hidden="false" customHeight="false" outlineLevel="0" collapsed="false">
      <c r="A133" s="11" t="str">
        <f aca="false">'99'!A133</f>
        <v>Energético Baly Melancia 2L</v>
      </c>
      <c r="B133" s="11" t="s">
        <v>202</v>
      </c>
      <c r="C133" s="14" t="s">
        <v>803</v>
      </c>
      <c r="D133" s="11"/>
      <c r="E133" s="13" t="n">
        <f aca="false">IF(B133="","",IFERROR(MATCH(B133,CUSTOS!$A:$A,0),"NÃO ACHOU"))</f>
        <v>108</v>
      </c>
    </row>
    <row r="134" customFormat="false" ht="15" hidden="false" customHeight="false" outlineLevel="0" collapsed="false">
      <c r="A134" s="11" t="str">
        <f aca="false">'99'!A134</f>
        <v>Skol Beats Long 269ml</v>
      </c>
      <c r="B134" s="11" t="s">
        <v>216</v>
      </c>
      <c r="C134" s="14" t="s">
        <v>803</v>
      </c>
      <c r="D134" s="11"/>
      <c r="E134" s="13" t="n">
        <f aca="false">IF(B134="","",IFERROR(MATCH(B134,CUSTOS!$A:$A,0),"NÃO ACHOU"))</f>
        <v>122</v>
      </c>
    </row>
    <row r="135" customFormat="false" ht="15" hidden="false" customHeight="false" outlineLevel="0" collapsed="false">
      <c r="A135" s="11" t="str">
        <f aca="false">'99'!A135</f>
        <v>Whisky Old Parr 1L</v>
      </c>
      <c r="B135" s="11" t="s">
        <v>331</v>
      </c>
      <c r="C135" s="14" t="s">
        <v>803</v>
      </c>
      <c r="D135" s="11"/>
      <c r="E135" s="13" t="n">
        <f aca="false">IF(B135="","",IFERROR(MATCH(B135,CUSTOS!$A:$A,0),"NÃO ACHOU"))</f>
        <v>237</v>
      </c>
    </row>
    <row r="136" customFormat="false" ht="15" hidden="false" customHeight="false" outlineLevel="0" collapsed="false">
      <c r="A136" s="11" t="str">
        <f aca="false">'99'!A136</f>
        <v>Energético Baly Maçã Verde 2L</v>
      </c>
      <c r="B136" s="11" t="s">
        <v>704</v>
      </c>
      <c r="C136" s="14" t="s">
        <v>803</v>
      </c>
      <c r="D136" s="11"/>
      <c r="E136" s="13" t="n">
        <f aca="false">IF(B136="","",IFERROR(MATCH(B136,CUSTOS!$A:$A,0),"NÃO ACHOU"))</f>
        <v>610</v>
      </c>
    </row>
    <row r="137" customFormat="false" ht="15" hidden="false" customHeight="false" outlineLevel="0" collapsed="false">
      <c r="A137" s="11" t="str">
        <f aca="false">'99'!A137</f>
        <v>Energetico Baly Tradicional 2l</v>
      </c>
      <c r="B137" s="11" t="s">
        <v>626</v>
      </c>
      <c r="C137" s="14" t="s">
        <v>803</v>
      </c>
      <c r="D137" s="11"/>
      <c r="E137" s="13" t="n">
        <f aca="false">IF(B137="","",IFERROR(MATCH(B137,CUSTOS!$A:$A,0),"NÃO ACHOU"))</f>
        <v>532</v>
      </c>
    </row>
    <row r="138" customFormat="false" ht="15" hidden="false" customHeight="false" outlineLevel="0" collapsed="false">
      <c r="A138" s="11" t="str">
        <f aca="false">'99'!A138</f>
        <v>Cerveja Stella Artois Pure Gold Lt 269ml</v>
      </c>
      <c r="B138" s="11" t="s">
        <v>776</v>
      </c>
      <c r="C138" s="14" t="s">
        <v>803</v>
      </c>
      <c r="D138" s="11"/>
      <c r="E138" s="13" t="n">
        <f aca="false">IF(B138="","",IFERROR(MATCH(B138,CUSTOS!$A:$A,0),"NÃO ACHOU"))</f>
        <v>683</v>
      </c>
    </row>
    <row r="139" customFormat="false" ht="15" hidden="false" customHeight="false" outlineLevel="0" collapsed="false">
      <c r="A139" s="11" t="str">
        <f aca="false">'99'!A139</f>
        <v>Cerveja Stella Artois S/Glut 330Ml</v>
      </c>
      <c r="B139" s="11" t="s">
        <v>200</v>
      </c>
      <c r="C139" s="14" t="s">
        <v>803</v>
      </c>
      <c r="D139" s="11" t="s">
        <v>818</v>
      </c>
      <c r="E139" s="13" t="n">
        <f aca="false">IF(B139="","",IFERROR(MATCH(B139,CUSTOS!$A:$A,0),"NÃO ACHOU"))</f>
        <v>106</v>
      </c>
    </row>
    <row r="140" customFormat="false" ht="15" hidden="false" customHeight="false" outlineLevel="0" collapsed="false">
      <c r="A140" s="11" t="str">
        <f aca="false">'99'!A140</f>
        <v>Bebida Alcoólica Mista Smirnoff Ice 269ML</v>
      </c>
      <c r="B140" s="11" t="s">
        <v>123</v>
      </c>
      <c r="C140" s="14" t="s">
        <v>803</v>
      </c>
      <c r="D140" s="11"/>
      <c r="E140" s="13" t="n">
        <f aca="false">IF(B140="","",IFERROR(MATCH(B140,CUSTOS!$A:$A,0),"NÃO ACHOU"))</f>
        <v>29</v>
      </c>
    </row>
    <row r="141" customFormat="false" ht="15" hidden="false" customHeight="false" outlineLevel="0" collapsed="false">
      <c r="A141" s="11" t="str">
        <f aca="false">'99'!A141</f>
        <v>Água Mineral Minalba Com gás 1.5 L</v>
      </c>
      <c r="B141" s="11" t="s">
        <v>126</v>
      </c>
      <c r="C141" s="14" t="s">
        <v>803</v>
      </c>
      <c r="D141" s="11"/>
      <c r="E141" s="13" t="n">
        <f aca="false">IF(B141="","",IFERROR(MATCH(B141,CUSTOS!$A:$A,0),"NÃO ACHOU"))</f>
        <v>32</v>
      </c>
    </row>
    <row r="142" customFormat="false" ht="15" hidden="false" customHeight="false" outlineLevel="0" collapsed="false">
      <c r="A142" s="11" t="str">
        <f aca="false">'99'!A142</f>
        <v>Whiskey Bourbon Jim Beam White 1L</v>
      </c>
      <c r="B142" s="11" t="s">
        <v>397</v>
      </c>
      <c r="C142" s="14" t="s">
        <v>803</v>
      </c>
      <c r="D142" s="11"/>
      <c r="E142" s="13" t="n">
        <f aca="false">IF(B142="","",IFERROR(MATCH(B142,CUSTOS!$A:$A,0),"NÃO ACHOU"))</f>
        <v>303</v>
      </c>
    </row>
    <row r="143" customFormat="false" ht="15" hidden="false" customHeight="false" outlineLevel="0" collapsed="false">
      <c r="A143" s="11" t="str">
        <f aca="false">'99'!A143</f>
        <v>Salgadinho Elma Chips Lay's Clássica 70G</v>
      </c>
      <c r="B143" s="11" t="s">
        <v>101</v>
      </c>
      <c r="C143" s="14" t="s">
        <v>803</v>
      </c>
      <c r="D143" s="11"/>
      <c r="E143" s="13" t="n">
        <f aca="false">IF(B143="","",IFERROR(MATCH(B143,CUSTOS!$A:$A,0),"NÃO ACHOU"))</f>
        <v>7</v>
      </c>
    </row>
    <row r="144" customFormat="false" ht="15" hidden="false" customHeight="false" outlineLevel="0" collapsed="false">
      <c r="A144" s="11" t="str">
        <f aca="false">'99'!A144</f>
        <v>Isotônico Gatorade Laranja 500ML</v>
      </c>
      <c r="B144" s="11" t="s">
        <v>526</v>
      </c>
      <c r="C144" s="14" t="s">
        <v>803</v>
      </c>
      <c r="D144" s="11"/>
      <c r="E144" s="13" t="n">
        <f aca="false">IF(B144="","",IFERROR(MATCH(B144,CUSTOS!$A:$A,0),"NÃO ACHOU"))</f>
        <v>432</v>
      </c>
    </row>
    <row r="145" customFormat="false" ht="15" hidden="false" customHeight="false" outlineLevel="0" collapsed="false">
      <c r="A145" s="11" t="str">
        <f aca="false">'99'!A145</f>
        <v>Tequila Jose Cuervo Ouro Especial 750 ml</v>
      </c>
      <c r="B145" s="11" t="s">
        <v>175</v>
      </c>
      <c r="C145" s="14" t="s">
        <v>803</v>
      </c>
      <c r="D145" s="11"/>
      <c r="E145" s="13" t="n">
        <f aca="false">IF(B145="","",IFERROR(MATCH(B145,CUSTOS!$A:$A,0),"NÃO ACHOU"))</f>
        <v>81</v>
      </c>
    </row>
    <row r="146" customFormat="false" ht="15" hidden="false" customHeight="false" outlineLevel="0" collapsed="false">
      <c r="A146" s="11" t="str">
        <f aca="false">'99'!A146</f>
        <v>Água Mineral Minalba Com gás 1.5 L</v>
      </c>
      <c r="B146" s="11" t="s">
        <v>126</v>
      </c>
      <c r="C146" s="14" t="s">
        <v>803</v>
      </c>
      <c r="D146" s="11"/>
      <c r="E146" s="13" t="n">
        <f aca="false">IF(B146="","",IFERROR(MATCH(B146,CUSTOS!$A:$A,0),"NÃO ACHOU"))</f>
        <v>32</v>
      </c>
    </row>
    <row r="147" customFormat="false" ht="15" hidden="false" customHeight="false" outlineLevel="0" collapsed="false">
      <c r="A147" s="11" t="str">
        <f aca="false">'99'!A147</f>
        <v>Cerveja Stella Artois Pure Gold Lt 269ml</v>
      </c>
      <c r="B147" s="11" t="s">
        <v>776</v>
      </c>
      <c r="C147" s="14" t="s">
        <v>803</v>
      </c>
      <c r="D147" s="11"/>
      <c r="E147" s="13" t="n">
        <f aca="false">IF(B147="","",IFERROR(MATCH(B147,CUSTOS!$A:$A,0),"NÃO ACHOU"))</f>
        <v>683</v>
      </c>
    </row>
  </sheetData>
  <autoFilter ref="A1:E147"/>
  <dataValidations count="1">
    <dataValidation allowBlank="false" errorStyle="stop" operator="between" showDropDown="false" showErrorMessage="false" showInputMessage="false" sqref="C2:C147" type="list">
      <formula1>"OK,APROXIMADO,VERIFICAR"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2026-10-15T16:59:39Z</dcterms:created>
  <dc:creator>Valnei Lopez</dc:creator>
  <dc:description/>
  <dc:language>en-US</dc:language>
  <cp:lastModifiedBy>Valnei Lopez</cp:lastModifiedBy>
  <dcterms:modified xsi:type="dcterms:W3CDTF">2026-10-15T17:05:20Z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